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sheetId="1" state="visible" r:id="rId3"/>
    <sheet name="Investigation" sheetId="2" state="visible" r:id="rId4"/>
    <sheet name="Study" sheetId="3" state="visible" r:id="rId5"/>
    <sheet name="Person" sheetId="4" state="visible" r:id="rId6"/>
    <sheet name="DataFile" sheetId="5" state="visible" r:id="rId7"/>
    <sheet name="Location" sheetId="6" state="visible" r:id="rId8"/>
    <sheet name="Institution" sheetId="7" state="visible" r:id="rId9"/>
    <sheet name="Experimental Design" sheetId="8" state="visible" r:id="rId10"/>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<sst xmlns="http://schemas.openxmlformats.org/spreadsheetml/2006/main" count="739" uniqueCount="329">
  <si>
    <t xml:space="preserve">Sheet Name</t>
  </si>
  <si>
    <t xml:space="preserve">Property</t>
  </si>
  <si>
    <t xml:space="preserve">Description</t>
  </si>
  <si>
    <t xml:space="preserve">Example</t>
  </si>
  <si>
    <t xml:space="preserve">Range</t>
  </si>
  <si>
    <t xml:space="preserve">Cardinality</t>
  </si>
  <si>
    <t xml:space="preserve">Ontology Name</t>
  </si>
  <si>
    <t xml:space="preserve">Base Ontology</t>
  </si>
  <si>
    <t xml:space="preserve">Mapping IRI</t>
  </si>
  <si>
    <t xml:space="preserve">MIAPPExSOSA IRI</t>
  </si>
  <si>
    <t xml:space="preserve">Notes</t>
  </si>
  <si>
    <t xml:space="preserve">Investigation</t>
  </si>
  <si>
    <t xml:space="preserve">Investigations are research programmes with defined aims. They can exist at various scales (for example, they could encompass a grant-funded programme of work, the various components comprising a peer-reviewed publication, or a single experiment).</t>
  </si>
  <si>
    <t xml:space="preserve">Exactly(1)</t>
  </si>
  <si>
    <t xml:space="preserve">http://purl.org/ppeo/ppeo.owl#</t>
  </si>
  <si>
    <t xml:space="preserve">Investigation Unique Identifier</t>
  </si>
  <si>
    <t xml:space="preserve">Identifier comprising the unique name of the institution/database hosting the submission of the investigation data, and the accession number of the investigation in that institution.</t>
  </si>
  <si>
    <t xml:space="preserve">Unique Identifier</t>
  </si>
  <si>
    <t xml:space="preserve">hasIdentifier</t>
  </si>
  <si>
    <t xml:space="preserve">Investigation Title</t>
  </si>
  <si>
    <t xml:space="preserve">Human-readable string summarizing the investigation.</t>
  </si>
  <si>
    <t xml:space="preserve">Free Text</t>
  </si>
  <si>
    <t xml:space="preserve">hasName</t>
  </si>
  <si>
    <t xml:space="preserve">Investigation Description</t>
  </si>
  <si>
    <t xml:space="preserve">Human-readable text describing the investigation in more detail.</t>
  </si>
  <si>
    <t xml:space="preserve">Max(1)</t>
  </si>
  <si>
    <t xml:space="preserve">hasDescription</t>
  </si>
  <si>
    <t xml:space="preserve">Submission Date</t>
  </si>
  <si>
    <t xml:space="preserve">Date of submission of the dataset presently being described to a host repository.</t>
  </si>
  <si>
    <t xml:space="preserve">Date/Time (ISO 8601, optional time zone)</t>
  </si>
  <si>
    <t xml:space="preserve">hasSubmissionDate</t>
  </si>
  <si>
    <t xml:space="preserve">Public Release Date</t>
  </si>
  <si>
    <t xml:space="preserve">Date of first public release of the dataset presently being described.</t>
  </si>
  <si>
    <t xml:space="preserve">hasPublicReleaseDate</t>
  </si>
  <si>
    <t xml:space="preserve">License</t>
  </si>
  <si>
    <t xml:space="preserve">License for the reuse of the data associated with this investigation. The Creative Commons licenses cover most use cases and are recommended.</t>
  </si>
  <si>
    <t xml:space="preserve">hasLicense</t>
  </si>
  <si>
    <t xml:space="preserve">Dataset Version</t>
  </si>
  <si>
    <t xml:space="preserve">The version of the Dataset.</t>
  </si>
  <si>
    <t xml:space="preserve">hasVersion</t>
  </si>
  <si>
    <t xml:space="preserve">MIAFPE Version</t>
  </si>
  <si>
    <t xml:space="preserve">The version of MIAFPE used. Different MIAFPE Versions are compatible with different MIAPPE Versions.</t>
  </si>
  <si>
    <t xml:space="preserve">Beta 0.1</t>
  </si>
  <si>
    <t xml:space="preserve">hasMIAFPEVersion</t>
  </si>
  <si>
    <t xml:space="preserve">Associated Publication</t>
  </si>
  <si>
    <t xml:space="preserve">An identifier for a literature publication where the investigation is described. Use of DOIs is recommended (In case of more than 1 use semicolon-separated format).</t>
  </si>
  <si>
    <t xml:space="preserve">some</t>
  </si>
  <si>
    <t xml:space="preserve">hasAssociatedPublication</t>
  </si>
  <si>
    <t xml:space="preserve">Investigation Level Files</t>
  </si>
  <si>
    <t xml:space="preserve">File identifier (from Data File Table) on Investigation Level, e.g. README Files (In case of more than 1 use semicolon-separated format).</t>
  </si>
  <si>
    <t xml:space="preserve">DataFile</t>
  </si>
  <si>
    <t xml:space="preserve">Min(0)</t>
  </si>
  <si>
    <t xml:space="preserve">hasDataFile</t>
  </si>
  <si>
    <t xml:space="preserve">Study</t>
  </si>
  <si>
    <t xml:space="preserve">A study (or experiment) comprises a series of assays (or measurements) of one or more types, undertaken to answer a particular biological question.</t>
  </si>
  <si>
    <t xml:space="preserve">Min(1)</t>
  </si>
  <si>
    <t xml:space="preserve">partOf (Domain Invstigation)</t>
  </si>
  <si>
    <t xml:space="preserve">Study Unique Identifier</t>
  </si>
  <si>
    <t xml:space="preserve">Unique Identifier which acts as unambiguous link between Instances. </t>
  </si>
  <si>
    <t xml:space="preserve">Identifier will have the feature to be autofilled</t>
  </si>
  <si>
    <t xml:space="preserve">Study Title</t>
  </si>
  <si>
    <t xml:space="preserve">Title of the Study.</t>
  </si>
  <si>
    <t xml:space="preserve">Study Description</t>
  </si>
  <si>
    <t xml:space="preserve">Human-readable text describing the study in more detail.</t>
  </si>
  <si>
    <t xml:space="preserve">Start Date</t>
  </si>
  <si>
    <t xml:space="preserve">Date and, if relevant, time when the experiment started.</t>
  </si>
  <si>
    <t xml:space="preserve">hasStartDateTime</t>
  </si>
  <si>
    <t xml:space="preserve">End Date</t>
  </si>
  <si>
    <t xml:space="preserve">Date and, if relevant, time when the experiment ended.</t>
  </si>
  <si>
    <t xml:space="preserve">hasEndDateTime</t>
  </si>
  <si>
    <t xml:space="preserve">Contact Institution</t>
  </si>
  <si>
    <t xml:space="preserve">Identifier from Institution Table (In case of more than 1 use semicolon-separated format).</t>
  </si>
  <si>
    <t xml:space="preserve">Institution</t>
  </si>
  <si>
    <t xml:space="preserve">hasContactInstitution</t>
  </si>
  <si>
    <t xml:space="preserve">Location</t>
  </si>
  <si>
    <t xml:space="preserve">Identifier of an Location Object (In case of more than 1 use semicolon-separated format). </t>
  </si>
  <si>
    <t xml:space="preserve">hasLocation</t>
  </si>
  <si>
    <t xml:space="preserve">Experimental Design</t>
  </si>
  <si>
    <t xml:space="preserve">Identifier of an Experimental Design Instance (In case of more than 1 use semicolon-separated format). </t>
  </si>
  <si>
    <t xml:space="preserve">ExperimentalDesign</t>
  </si>
  <si>
    <t xml:space="preserve">hasExperimentalDesign</t>
  </si>
  <si>
    <t xml:space="preserve">Study Level Files</t>
  </si>
  <si>
    <t xml:space="preserve">Link (identifier) to an Data_File Instance (In case of more than 1 use semicolon-separated format).</t>
  </si>
  <si>
    <t xml:space="preserve">Location Metadata.</t>
  </si>
  <si>
    <t xml:space="preserve">Unique Identifier which acts as unambiguous link between Instances.</t>
  </si>
  <si>
    <t xml:space="preserve">Experimental Site Name</t>
  </si>
  <si>
    <t xml:space="preserve">The name of the natural site, experimental field, greenhouse, phenotyping facility, etc. where the experiment took place.</t>
  </si>
  <si>
    <t xml:space="preserve">Country</t>
  </si>
  <si>
    <t xml:space="preserve">The country where the experiment took place as a full name (In case of more than 1 use semicolon-separated format).</t>
  </si>
  <si>
    <t xml:space="preserve">CLASS: Country</t>
  </si>
  <si>
    <t xml:space="preserve">hasCountry</t>
  </si>
  <si>
    <t xml:space="preserve">Country Code</t>
  </si>
  <si>
    <t xml:space="preserve">The country where the experiment took place as a 2-letter code (In case of more than 1 use semicolon-separated format).</t>
  </si>
  <si>
    <t xml:space="preserve">hasCountryCode</t>
  </si>
  <si>
    <t xml:space="preserve">Latitude</t>
  </si>
  <si>
    <t xml:space="preserve">Latitude of the experimental site in degrees, in decimal format.</t>
  </si>
  <si>
    <t xml:space="preserve">Degrees in the decimal format (ISO 6709)</t>
  </si>
  <si>
    <t xml:space="preserve">hasLatitude</t>
  </si>
  <si>
    <t xml:space="preserve">Exactly(1) if hasLongitude</t>
  </si>
  <si>
    <t xml:space="preserve">Longitude</t>
  </si>
  <si>
    <t xml:space="preserve">Longitude of the experimental site in degrees, in decimal format.</t>
  </si>
  <si>
    <t xml:space="preserve">hasLongitude</t>
  </si>
  <si>
    <t xml:space="preserve">Exactly(1) if hasLatitude</t>
  </si>
  <si>
    <t xml:space="preserve">Altitude</t>
  </si>
  <si>
    <t xml:space="preserve">Altitude of the experimental site in degrees, in decimal format.</t>
  </si>
  <si>
    <t xml:space="preserve">hasAltitude</t>
  </si>
  <si>
    <t xml:space="preserve">Max(1) only if hasLatitude and hasLongitude</t>
  </si>
  <si>
    <t xml:space="preserve">Growth Facility Description</t>
  </si>
  <si>
    <t xml:space="preserve">Short description of the facility in which the study was carried out.</t>
  </si>
  <si>
    <t xml:space="preserve">Reference to Controlled Vocabulary</t>
  </si>
  <si>
    <t xml:space="preserve">CLASS: GrowthFacility</t>
  </si>
  <si>
    <t xml:space="preserve">hasGrowthFacility</t>
  </si>
  <si>
    <t xml:space="preserve">Growth Facility Type</t>
  </si>
  <si>
    <t xml:space="preserve">Type of growth facility in which the study was carried out, in the form of an accession number from the Crop Ontology.</t>
  </si>
  <si>
    <t xml:space="preserve">hasGrowthFacilityType</t>
  </si>
  <si>
    <t xml:space="preserve">Growth Facility External Identifier</t>
  </si>
  <si>
    <t xml:space="preserve">External Identifier of the Growth Facility.</t>
  </si>
  <si>
    <t xml:space="preserve">hasExternalIdentifier</t>
  </si>
  <si>
    <t xml:space="preserve">Spatial Reference Files</t>
  </si>
  <si>
    <t xml:space="preserve">Files that can be linked to Location Properties.</t>
  </si>
  <si>
    <t xml:space="preserve">Institution Metadata</t>
  </si>
  <si>
    <t xml:space="preserve">Institution Name</t>
  </si>
  <si>
    <t xml:space="preserve">Name of the Institution.</t>
  </si>
  <si>
    <t xml:space="preserve">Institutions Address</t>
  </si>
  <si>
    <t xml:space="preserve">Address of the Institution</t>
  </si>
  <si>
    <t xml:space="preserve">hasAddress</t>
  </si>
  <si>
    <t xml:space="preserve">Institution Abbreviation</t>
  </si>
  <si>
    <t xml:space="preserve">A code or acronym of an institution. </t>
  </si>
  <si>
    <t xml:space="preserve">hasInstituteCode</t>
  </si>
  <si>
    <t xml:space="preserve">ROR Identifier</t>
  </si>
  <si>
    <t xml:space="preserve">hasRORID</t>
  </si>
  <si>
    <t xml:space="preserve">GRID Identifier</t>
  </si>
  <si>
    <t xml:space="preserve">hasGRIDID</t>
  </si>
  <si>
    <t xml:space="preserve">ISNI Identifier</t>
  </si>
  <si>
    <t xml:space="preserve">hasINSIID</t>
  </si>
  <si>
    <t xml:space="preserve">Crossref ID</t>
  </si>
  <si>
    <t xml:space="preserve">hasCrossrefID</t>
  </si>
  <si>
    <t xml:space="preserve">WikiData Identifier</t>
  </si>
  <si>
    <t xml:space="preserve">hasWikiID</t>
  </si>
  <si>
    <t xml:space="preserve">Other External Identifier</t>
  </si>
  <si>
    <t xml:space="preserve">Other External Identifier of the Institution.</t>
  </si>
  <si>
    <t xml:space="preserve">Experimental Design Metadata</t>
  </si>
  <si>
    <t xml:space="preserve">Experimental Design Description</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</si>
  <si>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</si>
  <si>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Experimental Design Map</t>
  </si>
  <si>
    <t xml:space="preserve">Representation of the experimental design  (In case of more than 1 use semicolon-separated format).</t>
  </si>
  <si>
    <t xml:space="preserve">Cultural Practice</t>
  </si>
  <si>
    <t xml:space="preserve">General description of the cultural practices of the study.</t>
  </si>
  <si>
    <t xml:space="preserve">hasCulturalPractices</t>
  </si>
  <si>
    <t xml:space="preserve">Observation Unit Level Hierarchy </t>
  </si>
  <si>
    <t xml:space="preserve">Hierarchy of the different levels of repetitions between each others</t>
  </si>
  <si>
    <t xml:space="preserve">hasObservationLevelHierarchy</t>
  </si>
  <si>
    <t xml:space="preserve">Data File</t>
  </si>
  <si>
    <t xml:space="preserve">A Digital Data Object, which can be either singe files or Directories of files</t>
  </si>
  <si>
    <t xml:space="preserve">Link to File</t>
  </si>
  <si>
    <t xml:space="preserve">Link to the data file (or digital object) in a public database or in a persistent institutional repository; or identifier of the data file when submitted together with the MIAPPE submission.</t>
  </si>
  <si>
    <t xml:space="preserve">URL or Filename</t>
  </si>
  <si>
    <t xml:space="preserve">hasDigitalLocation</t>
  </si>
  <si>
    <t xml:space="preserve">Data File Description</t>
  </si>
  <si>
    <t xml:space="preserve">Description of the format of the data file. May be a standard file format name, or a description of organization of the data in a tabular file.</t>
  </si>
  <si>
    <t xml:space="preserve">Data File Version</t>
  </si>
  <si>
    <t xml:space="preserve">The Version of the File/Files.</t>
  </si>
  <si>
    <t xml:space="preserve">Data Type</t>
  </si>
  <si>
    <t xml:space="preserve">The Type of the Datafiles.</t>
  </si>
  <si>
    <t xml:space="preserve">hasType</t>
  </si>
  <si>
    <t xml:space="preserve">Part Of</t>
  </si>
  <si>
    <t xml:space="preserve">Allows linkage to certain instances such as Study ID, Observation ID, Sensor ID (can be redundant)</t>
  </si>
  <si>
    <t xml:space="preserve">Thing</t>
  </si>
  <si>
    <t xml:space="preserve">partOf</t>
  </si>
  <si>
    <t xml:space="preserve">System</t>
  </si>
  <si>
    <t xml:space="preserve">System - System is a unit of abstraction for pieces of infrastructure that implement Procedures. A System may have components, its subsystems, which are other Systems.</t>
  </si>
  <si>
    <t xml:space="preserve">http://www.w3.org/ns/ssn/</t>
  </si>
  <si>
    <t xml:space="preserve">Acts as Port</t>
  </si>
  <si>
    <t xml:space="preserve">System Name</t>
  </si>
  <si>
    <t xml:space="preserve">System Description</t>
  </si>
  <si>
    <t xml:space="preserve">System Type</t>
  </si>
  <si>
    <t xml:space="preserve">Actuator,Sampler, Sensor</t>
  </si>
  <si>
    <t xml:space="preserve">isSystemType</t>
  </si>
  <si>
    <t xml:space="preserve">Subsystem</t>
  </si>
  <si>
    <t xml:space="preserve">hasSubsystem</t>
  </si>
  <si>
    <t xml:space="preserve">Platform</t>
  </si>
  <si>
    <t xml:space="preserve">isHostedBy</t>
  </si>
  <si>
    <t xml:space="preserve">http://www.w3.org/ns/sosa/</t>
  </si>
  <si>
    <t xml:space="preserve">Sensor</t>
  </si>
  <si>
    <t xml:space="preserve">not really equivalent (Domain is Platform in SOSA)</t>
  </si>
  <si>
    <t xml:space="preserve">Sensor/Sampler/Actuator</t>
  </si>
  <si>
    <t xml:space="preserve">hosts</t>
  </si>
  <si>
    <t xml:space="preserve">Input</t>
  </si>
  <si>
    <t xml:space="preserve">equivalent to implements + hasInput</t>
  </si>
  <si>
    <t xml:space="preserve">Data_File</t>
  </si>
  <si>
    <t xml:space="preserve">hasImplementedInput</t>
  </si>
  <si>
    <t xml:space="preserve">Output</t>
  </si>
  <si>
    <t xml:space="preserve">equivalent to implements + hasOutput</t>
  </si>
  <si>
    <t xml:space="preserve">hasImplementedOutput</t>
  </si>
  <si>
    <t xml:space="preserve">Conditions</t>
  </si>
  <si>
    <t xml:space="preserve">Condition</t>
  </si>
  <si>
    <t xml:space="preserve">inCondition</t>
  </si>
  <si>
    <t xml:space="preserve">Measurement Range</t>
  </si>
  <si>
    <t xml:space="preserve">equivalent to ssn-system:hasSystemCapability + hasSystemCapability to class XXX</t>
  </si>
  <si>
    <t xml:space="preserve">Measurement_Range</t>
  </si>
  <si>
    <t xml:space="preserve">Accuracy</t>
  </si>
  <si>
    <t xml:space="preserve">Detection Limit</t>
  </si>
  <si>
    <t xml:space="preserve">Drift</t>
  </si>
  <si>
    <t xml:space="preserve">Frequency</t>
  </si>
  <si>
    <t xml:space="preserve">Latency</t>
  </si>
  <si>
    <t xml:space="preserve">Precision</t>
  </si>
  <si>
    <t xml:space="preserve">Resolution</t>
  </si>
  <si>
    <t xml:space="preserve">Response Time</t>
  </si>
  <si>
    <t xml:space="preserve">Selectivity</t>
  </si>
  <si>
    <t xml:space="preserve">Sensitivity</t>
  </si>
  <si>
    <t xml:space="preserve">Platform - A Platform is an entity that hosts other entities, particularly Sensors, Actuators, Samplers, and other Platforms. Examples: A post, buoy, vehicle, ship, aircraft, satellite, cell-phone, human or animal may act as Platforms for (technical or biological) Sensors or Actuators.</t>
  </si>
  <si>
    <t xml:space="preserve">Platform Identifier</t>
  </si>
  <si>
    <t xml:space="preserve">Platform Name</t>
  </si>
  <si>
    <t xml:space="preserve">Platform Description</t>
  </si>
  <si>
    <t xml:space="preserve">Platform type</t>
  </si>
  <si>
    <t xml:space="preserve">isPlatformType</t>
  </si>
  <si>
    <t xml:space="preserve">Model</t>
  </si>
  <si>
    <t xml:space="preserve">hasModel</t>
  </si>
  <si>
    <t xml:space="preserve">Version</t>
  </si>
  <si>
    <t xml:space="preserve">Related Files</t>
  </si>
  <si>
    <t xml:space="preserve">Sensor - Device, agent (including humans), or software (simulation) involved in, or implementing, a Procedure. Sensors respond to a Stimulus, e.g., a change in the environment, or Input data composed from the Results of prior Observations, and generate a Result. Sensors can be hosted by Platforms. Example:  Accelerometers, gyroscopes, barometers, magnetometers, and so forth are Sensors that are typically mounted on a modern smart phone (which acts as Platform). Other examples of Sensors include the human eyes.</t>
  </si>
  <si>
    <t xml:space="preserve">Sensor Identifier</t>
  </si>
  <si>
    <t xml:space="preserve">Sensor Name</t>
  </si>
  <si>
    <t xml:space="preserve">Sensor Description</t>
  </si>
  <si>
    <t xml:space="preserve">Sensor Type</t>
  </si>
  <si>
    <t xml:space="preserve">isSensorType</t>
  </si>
  <si>
    <t xml:space="preserve">Observation</t>
  </si>
  <si>
    <t xml:space="preserve">observes</t>
  </si>
  <si>
    <t xml:space="preserve">Observation - Act of carrying out an (Observation) Procedure to estimate or calculate a value of a property of a FeatureOfInterest. Links to a Sensor to describe what made the Observation and how; links to an ObservableProperty to describe what the result is an estimate of, and to a FeatureOfInterest to detail what that property was associated with. Example: The activity of estimating the intensity of an Earthquake using the Mercalli intensity scale is an Observation as is measuring the moment magnitude, i.e., the energy released by said earthquake.</t>
  </si>
  <si>
    <t xml:space="preserve">Observation </t>
  </si>
  <si>
    <t xml:space="preserve">Study ID</t>
  </si>
  <si>
    <t xml:space="preserve">partOf </t>
  </si>
  <si>
    <t xml:space="preserve">System ID</t>
  </si>
  <si>
    <t xml:space="preserve">analog to madeBySensor</t>
  </si>
  <si>
    <t xml:space="preserve">madeBySystem</t>
  </si>
  <si>
    <t xml:space="preserve">FeatureOfInterest</t>
  </si>
  <si>
    <t xml:space="preserve">hasFeatureOfInterest</t>
  </si>
  <si>
    <t xml:space="preserve">Results</t>
  </si>
  <si>
    <t xml:space="preserve">analog to hasResult</t>
  </si>
  <si>
    <t xml:space="preserve">observed Property</t>
  </si>
  <si>
    <t xml:space="preserve">observedProperty</t>
  </si>
  <si>
    <t xml:space="preserve">Observation Unit</t>
  </si>
  <si>
    <t xml:space="preserve">Observation units are objects that are subject to instances of observation and measurement. An observation unit comprises one or more plants, and/or their environment. There can be pure environment observation units with no plants. (Synonym: Experimental unit)</t>
  </si>
  <si>
    <t xml:space="preserve">ObservationUnit</t>
  </si>
  <si>
    <t xml:space="preserve">ID from Observation Table (optional to guarantee compatibility with MIAPPE)</t>
  </si>
  <si>
    <t xml:space="preserve">Observation Unit Description</t>
  </si>
  <si>
    <t xml:space="preserve">Observation Unit external ID</t>
  </si>
  <si>
    <t xml:space="preserve">Spatial Distribution</t>
  </si>
  <si>
    <t xml:space="preserve">hasSpatialDistribution</t>
  </si>
  <si>
    <t xml:space="preserve">CLASS: Spatial Distribution</t>
  </si>
  <si>
    <t xml:space="preserve">Spatial Distribution Type</t>
  </si>
  <si>
    <t xml:space="preserve">hasSpatialDistributionType</t>
  </si>
  <si>
    <t xml:space="preserve">Observation Unit Type</t>
  </si>
  <si>
    <t xml:space="preserve">Experimental Factor</t>
  </si>
  <si>
    <t xml:space="preserve">Observed Variable</t>
  </si>
  <si>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t>
  </si>
  <si>
    <t xml:space="preserve">ObservedVariable</t>
  </si>
  <si>
    <t xml:space="preserve">Equivalent to ObservedProperty</t>
  </si>
  <si>
    <t xml:space="preserve">Variable Identifier</t>
  </si>
  <si>
    <t xml:space="preserve">Variable Name</t>
  </si>
  <si>
    <t xml:space="preserve">Variable Accession Number</t>
  </si>
  <si>
    <t xml:space="preserve">Trait</t>
  </si>
  <si>
    <t xml:space="preserve">Trait Entity Accession Number</t>
  </si>
  <si>
    <t xml:space="preserve">Trait Characteristics</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</si>
  <si>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 </t>
  </si>
  <si>
    <t xml:space="preserve">Factor</t>
  </si>
  <si>
    <t xml:space="preserve">Experimental Factor Type</t>
  </si>
  <si>
    <t xml:space="preserve">Experimental Factor Description</t>
  </si>
  <si>
    <t xml:space="preserve">Experimental Factor Value</t>
  </si>
  <si>
    <t xml:space="preserve">Data Files</t>
  </si>
  <si>
    <t xml:space="preserve">Supporting Material, preferable using ICASA-Dictionary (https://github.com/DSSAT/ICASA-Dictionary/tree/main)</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</si>
  <si>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</si>
  <si>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</si>
  <si>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Biological Material</t>
  </si>
  <si>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t>
  </si>
  <si>
    <t xml:space="preserve">BiologicalMaterial</t>
  </si>
  <si>
    <t xml:space="preserve">Biological Material ID</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</si>
  <si>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</si>
  <si>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Biological Material External ID</t>
  </si>
  <si>
    <t xml:space="preserve">One to many identifiers for the biological material. Can include EBI Biosamples ID. URI are recommended when possible.</t>
  </si>
  <si>
    <t xml:space="preserve">Organism</t>
  </si>
  <si>
    <t xml:space="preserve">An identifier for the organism at the species level. Use of the NCBI taxon ID is recommended. </t>
  </si>
  <si>
    <t xml:space="preserve">Genus</t>
  </si>
  <si>
    <t xml:space="preserve">Species</t>
  </si>
  <si>
    <t xml:space="preserve">Infraspecific name</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</si>
  <si>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</si>
  <si>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</si>
  <si>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</si>
  <si>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</si>
  <si>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List of Studies.</t>
  </si>
  <si>
    <t xml:space="preserve">List of Study ID</t>
  </si>
  <si>
    <t xml:space="preserve">INVERSE hasEnvironment</t>
  </si>
  <si>
    <t xml:space="preserve">Environment parameter</t>
  </si>
  <si>
    <t xml:space="preserve">Name of the environment parameter constant within the experiment. </t>
  </si>
  <si>
    <t xml:space="preserve">hasEnvironmentParameter</t>
  </si>
  <si>
    <t xml:space="preserve">Environment parameter Value</t>
  </si>
  <si>
    <t xml:space="preserve">Value of the environment parameter (defined above) constant within the experiment.</t>
  </si>
  <si>
    <t xml:space="preserve">hasValue</t>
  </si>
  <si>
    <t xml:space="preserve">Person</t>
  </si>
  <si>
    <t xml:space="preserve">A human involved in the investigation or specifically any of its studies.</t>
  </si>
  <si>
    <t xml:space="preserve">Person Name</t>
  </si>
  <si>
    <t xml:space="preserve">The name of the person (either full name or as used in scientific publications)</t>
  </si>
  <si>
    <t xml:space="preserve">ORCID</t>
  </si>
  <si>
    <t xml:space="preserve">An identifier for the data submitter. If that submitter is an individual, ORCID identifiers are recommended.</t>
  </si>
  <si>
    <t xml:space="preserve">hasORCID</t>
  </si>
  <si>
    <t xml:space="preserve">Person Email</t>
  </si>
  <si>
    <t xml:space="preserve">The electronic mail address of the person.</t>
  </si>
  <si>
    <t xml:space="preserve">hasEmailContact</t>
  </si>
  <si>
    <t xml:space="preserve">Role</t>
  </si>
  <si>
    <t xml:space="preserve">Type of contribution of the person to the investigation</t>
  </si>
  <si>
    <t xml:space="preserve">hasRole</t>
  </si>
  <si>
    <t xml:space="preserve">Affiliation</t>
  </si>
  <si>
    <t xml:space="preserve">The institution the person belongs to</t>
  </si>
  <si>
    <t xml:space="preserve">hasAffiliation</t>
  </si>
  <si>
    <t xml:space="preserve">Procedure NOT IMPLEMENTED YET</t>
  </si>
  <si>
    <t xml:space="preserve">Procedure - A workflow, protocol, plan, algorithm, or computational method specifying how to make an Observation, create a Sample, or make a change to the state of the world (via an Actuator). A Procedure is re-usable, and might be involved in many Observations, Samplings, or Actuations. It explains the steps to be carried out to arrive at reproducible Results. Example: The measured wind speed differs depending on the height of the Sensor above the surface, e.g., due to friction. Consequently, procedures for measuring wind speed define a standard height for anemometers above ground, typically 10m for meteorological measures and 2m in Agrometeorology. This definition of height, Sensor placement, and so forth are defined by the Procedure. Note: Many Observations may be created via the same Procedure, the same way as many tables are assembled using the same instructions (as information objects, not their concrete realization).</t>
  </si>
  <si>
    <t xml:space="preserve">Future Implementation, acts as Port for models or data driven workflows</t>
  </si>
  <si>
    <t xml:space="preserve">Procedure Description</t>
  </si>
  <si>
    <t xml:space="preserve">Procedure Pipeline</t>
  </si>
  <si>
    <t xml:space="preserve">System </t>
  </si>
  <si>
    <t xml:space="preserve">Used By</t>
  </si>
  <si>
    <t xml:space="preserve">Observation (or others)</t>
  </si>
  <si>
    <t xml:space="preserve">Feature Of Interest</t>
  </si>
  <si>
    <t xml:space="preserve">Feature Of Interest - The thing whose property is being estimated or calculated in the course of an Observation to arrive at a Result, or whose property is being manipulated by an Actuator, or which is being sampled or transformed in an act of Sampling. Example: When measuring the height of a tree, the height is the observed ObservableProperty, 20m may be the Result of the Observation, and the tree is the FeatureOfInterest. A window is a FeatureOfInterest for an automatic window control Actuator.</t>
  </si>
  <si>
    <t xml:space="preserve">Investigation Level File</t>
  </si>
  <si>
    <t xml:space="preserve">doi.org/10.26165/JUELICH-DATA/XWRNHR</t>
  </si>
  <si>
    <t xml:space="preserve">Multi-scale field phenotyping of wheat-bean intercrops: Integrating spectral and agronomic datasets from a three-year trial</t>
  </si>
  <si>
    <t xml:space="preserve">This datapackage was collected in a spring wheat-faba bean intercropping trial conducted at the CKA field site from 2021 to 2023. The experiments were implemented using organic farming practices in a completely randomised design. The study compared the intercropping of three spring wheat cultivars with two faba-bean cultivars and their respective sole crops which served as controls.</t>
  </si>
  <si>
    <t xml:space="preserve">CC0 - "Public Domain Dedication"</t>
  </si>
</sst>
</file>

<file path=xl/styles.xml><?xml version="1.0" encoding="utf-8"?>
<styleSheet xmlns="http://schemas.openxmlformats.org/spreadsheetml/2006/main">
  <numFmts count="3">
    <numFmt numFmtId="164" formatCode="General"/>
    <numFmt numFmtId="165" formatCode="General"/>
    <numFmt numFmtId="166" formatCode="yyyy\-mm\-dd"/>
  </numFmts>
  <fonts count="11">
    <font>
      <sz val="10"/>
      <name val="Arial"/>
      <family val="2"/>
      <charset val="1"/>
    </font>
    <font>
      <sz val="10"/>
      <name val="Arial"/>
      <family val="0"/>
    </font>
    <font>
      <sz val="10"/>
      <name val="Arial"/>
      <family val="0"/>
    </font>
    <font>
      <sz val="10"/>
      <name val="Arial"/>
      <family val="0"/>
    </font>
    <font>
      <b val="true"/>
      <sz val="13"/>
      <name val="Arial"/>
      <family val="2"/>
      <charset val="1"/>
    </font>
    <font>
      <b val="true"/>
      <sz val="12"/>
      <name val="Arial"/>
      <family val="2"/>
      <charset val="1"/>
    </font>
    <font>
      <sz val="10"/>
      <color rgb="FF000000"/>
      <name val="Arial"/>
      <family val="2"/>
      <charset val="1"/>
    </font>
    <font>
      <b val="true"/>
      <sz val="10"/>
      <name val="Arial"/>
      <family val="2"/>
      <charset val="1"/>
    </font>
    <font>
      <b val="true"/>
      <sz val="12"/>
      <color rgb="FFFF0000"/>
      <name val="Arial"/>
      <family val="2"/>
      <charset val="1"/>
    </font>
    <font>
      <b val="true"/>
      <sz val="10"/>
      <color rgb="FF000000"/>
      <name val="Arial"/>
      <family val="2"/>
      <charset val="1"/>
    </font>
    <font>
      <sz val="10"/>
      <color rgb="FFC9211E"/>
      <name val="Arial"/>
      <family val="2"/>
      <charset val="1"/>
    </font>
  </fonts>
  <fills count="7">
    <fill>
      <patternFill patternType="none"/>
    </fill>
    <fill>
      <patternFill patternType="gray125"/>
    </fill>
    <fill>
      <patternFill patternType="solid">
        <fgColor rgb="FF6B5E9B"/>
        <bgColor rgb="FF666666"/>
      </patternFill>
    </fill>
    <fill>
      <patternFill patternType="solid">
        <fgColor rgb="FFB7B3CA"/>
        <bgColor rgb="FFCC99FF"/>
      </patternFill>
    </fill>
    <fill>
      <patternFill patternType="solid">
        <fgColor rgb="FFDEDCE6"/>
        <bgColor rgb="FFDDDDDD"/>
      </patternFill>
    </fill>
    <fill>
      <patternFill patternType="solid">
        <fgColor rgb="FFDDDDDD"/>
        <bgColor rgb="FFDEDCE6"/>
      </patternFill>
    </fill>
    <fill>
      <patternFill patternType="solid">
        <fgColor rgb="FF666666"/>
        <bgColor rgb="FF6B5E9B"/>
      </patternFill>
    </fill>
  </fills>
  <borders count="8">
    <border diagonalUp="false" diagonalDown="false">
      <left/>
      <right/>
      <top/>
      <bottom/>
      <diagonal/>
    </border>
    <border diagonalUp="false" diagonalDown="false">
      <left/>
      <right/>
      <top/>
      <bottom style="medium"/>
      <diagonal/>
    </border>
    <border diagonalUp="false" diagonalDown="false">
      <left/>
      <right/>
      <top style="medium"/>
      <bottom style="medium"/>
      <diagonal/>
    </border>
    <border diagonalUp="false" diagonalDown="false">
      <left style="thin"/>
      <right/>
      <top style="thin"/>
      <bottom/>
      <diagonal/>
    </border>
    <border diagonalUp="false" diagonalDown="false">
      <left/>
      <right/>
      <top style="thin"/>
      <bottom/>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true" hidden="false"/>
    </xf>
    <xf numFmtId="164" fontId="5" fillId="3" borderId="2" xfId="0" applyFont="true" applyBorder="true" applyAlignment="true" applyProtection="true">
      <alignment horizontal="general" vertical="bottom" textRotation="0" wrapText="true" indent="0" shrinkToFit="false"/>
      <protection locked="true" hidden="false"/>
    </xf>
    <xf numFmtId="164" fontId="0" fillId="3" borderId="2" xfId="0" applyFont="false" applyBorder="true" applyAlignment="true" applyProtection="true">
      <alignment horizontal="general" vertical="bottom" textRotation="0" wrapText="true" indent="0" shrinkToFit="false"/>
      <protection locked="true" hidden="false"/>
    </xf>
    <xf numFmtId="164" fontId="0" fillId="3" borderId="2" xfId="0" applyFont="true" applyBorder="true" applyAlignment="true" applyProtection="true">
      <alignment horizontal="general" vertical="bottom" textRotation="0" wrapText="true" indent="0" shrinkToFit="false"/>
      <protection locked="true" hidden="false"/>
    </xf>
    <xf numFmtId="164" fontId="6" fillId="3" borderId="2" xfId="0" applyFont="true" applyBorder="tru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true" indent="0" shrinkToFit="false"/>
      <protection locked="true" hidden="false"/>
    </xf>
    <xf numFmtId="164" fontId="0" fillId="0" borderId="3" xfId="0" applyFont="true" applyBorder="true" applyAlignment="true" applyProtection="true">
      <alignment horizontal="general" vertical="bottom" textRotation="0" wrapText="true" indent="0" shrinkToFit="false"/>
      <protection locked="true" hidden="false"/>
    </xf>
    <xf numFmtId="164" fontId="0" fillId="0" borderId="4" xfId="0" applyFont="true" applyBorder="true" applyAlignment="true" applyProtection="true">
      <alignment horizontal="general" vertical="bottom" textRotation="0" wrapText="true" indent="0" shrinkToFit="false"/>
      <protection locked="true" hidden="false"/>
    </xf>
    <xf numFmtId="164" fontId="0" fillId="0" borderId="5"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5" xfId="0" applyFont="true" applyBorder="true" applyAlignment="true" applyProtection="true">
      <alignment horizontal="general" vertical="bottom" textRotation="0" wrapText="true" indent="0" shrinkToFit="false"/>
      <protection locked="true" hidden="false"/>
    </xf>
    <xf numFmtId="164" fontId="6" fillId="0" borderId="6" xfId="0" applyFont="true" applyBorder="true" applyAlignment="true" applyProtection="true">
      <alignment horizontal="general" vertical="bottom" textRotation="0" wrapText="true" indent="0" shrinkToFit="false"/>
      <protection locked="true" hidden="false"/>
    </xf>
    <xf numFmtId="164" fontId="0" fillId="0" borderId="7" xfId="0" applyFont="true" applyBorder="true" applyAlignment="true" applyProtection="true">
      <alignment horizontal="general" vertical="bottom" textRotation="0" wrapText="true" indent="0" shrinkToFit="false"/>
      <protection locked="true" hidden="false"/>
    </xf>
    <xf numFmtId="164" fontId="7" fillId="0" borderId="7" xfId="0" applyFont="true" applyBorder="true" applyAlignment="true" applyProtection="true">
      <alignment horizontal="general" vertical="bottom" textRotation="0" wrapText="true" indent="0" shrinkToFit="false"/>
      <protection locked="true" hidden="false"/>
    </xf>
    <xf numFmtId="164" fontId="6" fillId="0" borderId="7" xfId="0" applyFont="true" applyBorder="true" applyAlignment="true" applyProtection="true">
      <alignment horizontal="general" vertical="bottom" textRotation="0" wrapText="true" indent="0" shrinkToFit="false"/>
      <protection locked="true" hidden="false"/>
    </xf>
    <xf numFmtId="165" fontId="0" fillId="0" borderId="7" xfId="0" applyFont="false" applyBorder="true" applyAlignment="true" applyProtection="true">
      <alignment horizontal="general" vertical="bottom" textRotation="0" wrapText="true" indent="0" shrinkToFit="false"/>
      <protection locked="true" hidden="false"/>
    </xf>
    <xf numFmtId="164" fontId="5" fillId="4" borderId="2" xfId="0" applyFont="true" applyBorder="true" applyAlignment="true" applyProtection="true">
      <alignment horizontal="general" vertical="bottom" textRotation="0" wrapText="true" indent="0" shrinkToFit="false"/>
      <protection locked="true" hidden="false"/>
    </xf>
    <xf numFmtId="164" fontId="0" fillId="4" borderId="2" xfId="0" applyFont="false" applyBorder="true" applyAlignment="true" applyProtection="true">
      <alignment horizontal="general" vertical="bottom" textRotation="0" wrapText="true" indent="0" shrinkToFit="false"/>
      <protection locked="true" hidden="false"/>
    </xf>
    <xf numFmtId="164" fontId="0" fillId="4" borderId="2" xfId="0" applyFont="true" applyBorder="true" applyAlignment="true" applyProtection="true">
      <alignment horizontal="general" vertical="bottom" textRotation="0" wrapText="true" indent="0" shrinkToFit="false"/>
      <protection locked="true" hidden="false"/>
    </xf>
    <xf numFmtId="164" fontId="0" fillId="4" borderId="0" xfId="0" applyFont="fals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3" borderId="2" xfId="0" applyFont="true" applyBorder="true" applyAlignment="true" applyProtection="true">
      <alignment horizontal="general" vertical="bottom" textRotation="0" wrapText="true" indent="0" shrinkToFit="false"/>
      <protection locked="true" hidden="false"/>
    </xf>
    <xf numFmtId="164" fontId="0" fillId="5" borderId="5" xfId="0" applyFont="true" applyBorder="true" applyAlignment="true" applyProtection="true">
      <alignment horizontal="general" vertical="bottom" textRotation="0" wrapText="true" indent="0" shrinkToFit="false"/>
      <protection locked="true" hidden="false"/>
    </xf>
    <xf numFmtId="164" fontId="0" fillId="5" borderId="0" xfId="0" applyFont="true" applyBorder="false" applyAlignment="true" applyProtection="true">
      <alignment horizontal="general" vertical="bottom" textRotation="0" wrapText="true" indent="0" shrinkToFit="false"/>
      <protection locked="true" hidden="false"/>
    </xf>
    <xf numFmtId="164" fontId="7" fillId="5" borderId="0" xfId="0" applyFont="true" applyBorder="false" applyAlignment="true" applyProtection="true">
      <alignment horizontal="general" vertical="bottom" textRotation="0" wrapText="true" indent="0" shrinkToFit="false"/>
      <protection locked="true" hidden="false"/>
    </xf>
    <xf numFmtId="164" fontId="0" fillId="5" borderId="0" xfId="0" applyFont="fals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general" vertical="bottom" textRotation="0" wrapText="true" indent="0" shrinkToFit="false"/>
      <protection locked="true" hidden="false"/>
    </xf>
    <xf numFmtId="164" fontId="8" fillId="4" borderId="2" xfId="0" applyFont="true" applyBorder="true" applyAlignment="true" applyProtection="true">
      <alignment horizontal="general" vertical="bottom" textRotation="0" wrapText="true" indent="0" shrinkToFit="false"/>
      <protection locked="true" hidden="false"/>
    </xf>
    <xf numFmtId="164" fontId="6" fillId="4"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6" borderId="2" xfId="0" applyFont="true" applyBorder="true" applyAlignment="true" applyProtection="true">
      <alignment horizontal="general" vertical="bottom" textRotation="0" wrapText="true" indent="0" shrinkToFit="false"/>
      <protection locked="true" hidden="false"/>
    </xf>
    <xf numFmtId="164" fontId="0" fillId="6" borderId="2" xfId="0" applyFont="false" applyBorder="true" applyAlignment="true" applyProtection="true">
      <alignment horizontal="general" vertical="bottom" textRotation="0" wrapText="true" indent="0" shrinkToFit="false"/>
      <protection locked="true" hidden="false"/>
    </xf>
    <xf numFmtId="164" fontId="0" fillId="6" borderId="2" xfId="0" applyFont="true" applyBorder="true" applyAlignment="true" applyProtection="true">
      <alignment horizontal="general" vertical="bottom" textRotation="0" wrapText="true" indent="0" shrinkToFit="false"/>
      <protection locked="true" hidden="false"/>
    </xf>
    <xf numFmtId="164" fontId="6" fillId="6"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true" indent="0" shrinkToFit="false"/>
      <protection locked="true" hidden="false"/>
    </xf>
    <xf numFmtId="164" fontId="7" fillId="0" borderId="4"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3CA"/>
      <rgbColor rgb="FF666666"/>
      <rgbColor rgb="FF9999FF"/>
      <rgbColor rgb="FF993366"/>
      <rgbColor rgb="FFFFFFCC"/>
      <rgbColor rgb="FFCCFFF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DDDD"/>
      <rgbColor rgb="FFFFFF99"/>
      <rgbColor rgb="FF99CCFF"/>
      <rgbColor rgb="FFFF99CC"/>
      <rgbColor rgb="FFCC99FF"/>
      <rgbColor rgb="FFFFCC99"/>
      <rgbColor rgb="FF3366FF"/>
      <rgbColor rgb="FF33CCCC"/>
      <rgbColor rgb="FF99CC00"/>
      <rgbColor rgb="FFFFCC00"/>
      <rgbColor rgb="FFFF9900"/>
      <rgbColor rgb="FFFF6600"/>
      <rgbColor rgb="FF6B5E9B"/>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1"/>
  <sheetViews>
    <sheetView showFormulas="false" showGridLines="true" showRowColHeaders="true" showZeros="true" rightToLeft="false" tabSelected="true" showOutlineSymbols="true" defaultGridColor="true" view="normal" topLeftCell="H138" colorId="64" zoomScale="110" zoomScaleNormal="110" zoomScalePageLayoutView="100" workbookViewId="0">
      <selection pane="topLeft" activeCell="I166" activeCellId="0" sqref="I166"/>
    </sheetView>
  </sheetViews>
  <sheetFormatPr defaultColWidth="11.53515625" defaultRowHeight="12.8" zeroHeight="false" outlineLevelRow="0" outlineLevelCol="0"/>
  <cols>
    <col collapsed="false" customWidth="true" hidden="false" outlineLevel="0" max="1" min="1" style="1" width="21.21"/>
    <col collapsed="false" customWidth="true" hidden="false" outlineLevel="0" max="2" min="2" style="1" width="29.46"/>
    <col collapsed="false" customWidth="true" hidden="false" outlineLevel="0" max="3" min="3" style="1" width="65.13"/>
    <col collapsed="false" customWidth="true" hidden="false" outlineLevel="0" max="5" min="4" style="1" width="21.56"/>
    <col collapsed="false" customWidth="true" hidden="false" outlineLevel="0" max="7" min="6" style="1" width="26.08"/>
    <col collapsed="false" customWidth="true" hidden="false" outlineLevel="0" max="8" min="8" style="1" width="25.97"/>
    <col collapsed="false" customWidth="true" hidden="false" outlineLevel="0" max="9" min="9" style="1" width="43.47"/>
    <col collapsed="false" customWidth="true" hidden="false" outlineLevel="0" max="10" min="10" style="1" width="30.37"/>
    <col collapsed="false" customWidth="true" hidden="false" outlineLevel="0" max="11" min="11" style="1" width="21.91"/>
    <col collapsed="false" customWidth="false" hidden="false" outlineLevel="0" max="16384" min="12" style="1" width="11.53"/>
  </cols>
  <sheetData>
    <row r="1" customFormat="false" ht="16.15" hidden="false" customHeight="false" outlineLevel="0" collapsed="false">
      <c r="A1" s="2" t="s">
        <v>0</v>
      </c>
      <c r="B1" s="2" t="s">
        <v>1</v>
      </c>
      <c r="C1" s="2" t="s">
        <v>2</v>
      </c>
      <c r="D1" s="2" t="s">
        <v>3</v>
      </c>
      <c r="E1" s="2" t="s">
        <v>4</v>
      </c>
      <c r="F1" s="2" t="s">
        <v>5</v>
      </c>
      <c r="G1" s="2" t="s">
        <v>6</v>
      </c>
      <c r="H1" s="2" t="s">
        <v>7</v>
      </c>
      <c r="I1" s="2" t="s">
        <v>8</v>
      </c>
      <c r="J1" s="2" t="s">
        <v>9</v>
      </c>
      <c r="K1" s="2" t="s">
        <v>10</v>
      </c>
    </row>
    <row r="2" customFormat="false" ht="46.25" hidden="false" customHeight="false" outlineLevel="0" collapsed="false">
      <c r="A2" s="3" t="s">
        <v>11</v>
      </c>
      <c r="B2" s="4"/>
      <c r="C2" s="5" t="s">
        <v>12</v>
      </c>
      <c r="D2" s="5"/>
      <c r="E2" s="4"/>
      <c r="F2" s="4" t="s">
        <v>13</v>
      </c>
      <c r="G2" s="6" t="s">
        <v>11</v>
      </c>
      <c r="H2" s="5" t="s">
        <v>14</v>
      </c>
      <c r="I2" s="5" t="str">
        <f aca="false">_xlfn.CONCAT(H2, LOWER(G2))</f>
        <v>http://purl.org/ppeo/ppeo.owl#investigation</v>
      </c>
      <c r="J2" s="4" t="str">
        <f aca="false">_xlfn.CONCAT("https://github.com/gryvity/miafpe/tree/master/ontology/miappexsosa.owl#", G2)</f>
        <v>https://github.com/gryvity/miafpe/tree/master/ontology/miappexsosa.owl#Investigation</v>
      </c>
      <c r="K2" s="4"/>
    </row>
    <row r="3" customFormat="false" ht="35.05" hidden="false" customHeight="false" outlineLevel="0" collapsed="false">
      <c r="A3" s="7"/>
      <c r="B3" s="8" t="s">
        <v>15</v>
      </c>
      <c r="C3" s="9" t="s">
        <v>16</v>
      </c>
      <c r="D3" s="9"/>
      <c r="E3" s="9" t="s">
        <v>17</v>
      </c>
      <c r="F3" s="9" t="s">
        <v>13</v>
      </c>
      <c r="G3" s="9" t="s">
        <v>18</v>
      </c>
      <c r="H3" s="9" t="s">
        <v>14</v>
      </c>
      <c r="I3" s="9" t="str">
        <f aca="false">_xlfn.CONCAT(H3, G3)</f>
        <v>http://purl.org/ppeo/ppeo.owl#hasIdentifier</v>
      </c>
      <c r="J3" s="9" t="str">
        <f aca="false">_xlfn.CONCAT("https://github.com/gryvity/miafpe/tree/master/ontology/miappexsosa.owl#", G3)</f>
        <v>https://github.com/gryvity/miafpe/tree/master/ontology/miappexsosa.owl#hasIdentifier</v>
      </c>
      <c r="K3" s="9"/>
    </row>
    <row r="4" customFormat="false" ht="35.05" hidden="false" customHeight="false" outlineLevel="0" collapsed="false">
      <c r="A4" s="7"/>
      <c r="B4" s="10" t="s">
        <v>19</v>
      </c>
      <c r="C4" s="11" t="s">
        <v>20</v>
      </c>
      <c r="D4" s="11"/>
      <c r="E4" s="1" t="s">
        <v>21</v>
      </c>
      <c r="F4" s="1" t="s">
        <v>13</v>
      </c>
      <c r="G4" s="1" t="s">
        <v>22</v>
      </c>
      <c r="H4" s="1" t="s">
        <v>14</v>
      </c>
      <c r="I4" s="1" t="str">
        <f aca="false">_xlfn.CONCAT(H4, G4)</f>
        <v>http://purl.org/ppeo/ppeo.owl#hasName</v>
      </c>
      <c r="J4" s="1" t="str">
        <f aca="false">_xlfn.CONCAT("https://github.com/gryvity/miafpe/tree/master/ontology/miappexsosa.owl#", G4)</f>
        <v>https://github.com/gryvity/miafpe/tree/master/ontology/miappexsosa.owl#hasName</v>
      </c>
      <c r="K4" s="12"/>
    </row>
    <row r="5" customFormat="false" ht="35.05" hidden="false" customHeight="false" outlineLevel="0" collapsed="false">
      <c r="A5" s="7"/>
      <c r="B5" s="10" t="s">
        <v>23</v>
      </c>
      <c r="C5" s="11" t="s">
        <v>24</v>
      </c>
      <c r="D5" s="11"/>
      <c r="E5" s="1" t="s">
        <v>21</v>
      </c>
      <c r="F5" s="1" t="s">
        <v>25</v>
      </c>
      <c r="G5" s="1" t="s">
        <v>26</v>
      </c>
      <c r="H5" s="1" t="s">
        <v>14</v>
      </c>
      <c r="I5" s="1" t="str">
        <f aca="false">_xlfn.CONCAT(H5, G5)</f>
        <v>http://purl.org/ppeo/ppeo.owl#hasDescription</v>
      </c>
      <c r="J5" s="1" t="str">
        <f aca="false">_xlfn.CONCAT("https://github.com/gryvity/miafpe/tree/master/ontology/miappexsosa.owl#", G5)</f>
        <v>https://github.com/gryvity/miafpe/tree/master/ontology/miappexsosa.owl#hasDescription</v>
      </c>
      <c r="K5" s="12"/>
    </row>
    <row r="6" customFormat="false" ht="46" hidden="false" customHeight="false" outlineLevel="0" collapsed="false">
      <c r="A6" s="7"/>
      <c r="B6" s="10" t="s">
        <v>27</v>
      </c>
      <c r="C6" s="1" t="s">
        <v>28</v>
      </c>
      <c r="E6" s="1" t="s">
        <v>29</v>
      </c>
      <c r="F6" s="1" t="s">
        <v>25</v>
      </c>
      <c r="G6" s="1" t="s">
        <v>30</v>
      </c>
      <c r="H6" s="1" t="s">
        <v>14</v>
      </c>
      <c r="I6" s="1" t="str">
        <f aca="false">_xlfn.CONCAT(H6, G6)</f>
        <v>http://purl.org/ppeo/ppeo.owl#hasSubmissionDate</v>
      </c>
      <c r="J6" s="1" t="str">
        <f aca="false">_xlfn.CONCAT("https://github.com/gryvity/miafpe/tree/master/ontology/miappexsosa.owl#", G6)</f>
        <v>https://github.com/gryvity/miafpe/tree/master/ontology/miappexsosa.owl#hasSubmissionDate</v>
      </c>
      <c r="K6" s="12"/>
    </row>
    <row r="7" customFormat="false" ht="46" hidden="false" customHeight="false" outlineLevel="0" collapsed="false">
      <c r="A7" s="7"/>
      <c r="B7" s="10" t="s">
        <v>31</v>
      </c>
      <c r="C7" s="11" t="s">
        <v>32</v>
      </c>
      <c r="D7" s="11"/>
      <c r="E7" s="1" t="s">
        <v>29</v>
      </c>
      <c r="F7" s="1" t="s">
        <v>25</v>
      </c>
      <c r="G7" s="1" t="s">
        <v>33</v>
      </c>
      <c r="H7" s="1" t="s">
        <v>14</v>
      </c>
      <c r="I7" s="1" t="str">
        <f aca="false">_xlfn.CONCAT(H7, G7)</f>
        <v>http://purl.org/ppeo/ppeo.owl#hasPublicReleaseDate</v>
      </c>
      <c r="J7" s="1" t="str">
        <f aca="false">_xlfn.CONCAT("https://github.com/gryvity/miafpe/tree/master/ontology/miappexsosa.owl#", G7)</f>
        <v>https://github.com/gryvity/miafpe/tree/master/ontology/miappexsosa.owl#hasPublicReleaseDate</v>
      </c>
      <c r="K7" s="12"/>
    </row>
    <row r="8" customFormat="false" ht="34.8" hidden="false" customHeight="false" outlineLevel="0" collapsed="false">
      <c r="A8" s="7"/>
      <c r="B8" s="10" t="s">
        <v>34</v>
      </c>
      <c r="C8" s="1" t="s">
        <v>35</v>
      </c>
      <c r="E8" s="13" t="s">
        <v>21</v>
      </c>
      <c r="F8" s="1" t="s">
        <v>25</v>
      </c>
      <c r="G8" s="1" t="s">
        <v>36</v>
      </c>
      <c r="H8" s="1" t="s">
        <v>14</v>
      </c>
      <c r="I8" s="1" t="str">
        <f aca="false">_xlfn.CONCAT(H8, G8)</f>
        <v>http://purl.org/ppeo/ppeo.owl#hasLicense</v>
      </c>
      <c r="J8" s="1" t="str">
        <f aca="false">_xlfn.CONCAT("https://github.com/gryvity/miafpe/tree/master/ontology/miappexsosa.owl#", G8)</f>
        <v>https://github.com/gryvity/miafpe/tree/master/ontology/miappexsosa.owl#hasLicense</v>
      </c>
      <c r="K8" s="12"/>
    </row>
    <row r="9" customFormat="false" ht="34.8" hidden="false" customHeight="false" outlineLevel="0" collapsed="false">
      <c r="A9" s="7"/>
      <c r="B9" s="14" t="s">
        <v>37</v>
      </c>
      <c r="C9" s="1" t="s">
        <v>38</v>
      </c>
      <c r="E9" s="1" t="s">
        <v>21</v>
      </c>
      <c r="F9" s="1" t="s">
        <v>13</v>
      </c>
      <c r="G9" s="13" t="s">
        <v>39</v>
      </c>
      <c r="H9" s="1" t="s">
        <v>14</v>
      </c>
      <c r="I9" s="1" t="str">
        <f aca="false">_xlfn.CONCAT(H9, G9)</f>
        <v>http://purl.org/ppeo/ppeo.owl#hasVersion</v>
      </c>
      <c r="J9" s="1" t="str">
        <f aca="false">_xlfn.CONCAT("https://github.com/gryvity/miafpe/tree/master/ontology/miappexsosa.owl#", G9)</f>
        <v>https://github.com/gryvity/miafpe/tree/master/ontology/miappexsosa.owl#hasVersion</v>
      </c>
      <c r="K9" s="12"/>
    </row>
    <row r="10" customFormat="false" ht="46.25" hidden="false" customHeight="false" outlineLevel="0" collapsed="false">
      <c r="A10" s="7"/>
      <c r="B10" s="14" t="s">
        <v>40</v>
      </c>
      <c r="C10" s="1" t="s">
        <v>41</v>
      </c>
      <c r="D10" s="1" t="s">
        <v>42</v>
      </c>
      <c r="E10" s="1" t="s">
        <v>21</v>
      </c>
      <c r="F10" s="1" t="s">
        <v>13</v>
      </c>
      <c r="G10" s="13" t="s">
        <v>43</v>
      </c>
      <c r="J10" s="1" t="str">
        <f aca="false">_xlfn.CONCAT("https://github.com/gryvity/miafpe/tree/master/ontology/miappexsosa.owl#", G10)</f>
        <v>https://github.com/gryvity/miafpe/tree/master/ontology/miappexsosa.owl#hasMIAFPEVersion</v>
      </c>
      <c r="K10" s="12"/>
    </row>
    <row r="11" customFormat="false" ht="46.25" hidden="false" customHeight="false" outlineLevel="0" collapsed="false">
      <c r="A11" s="7"/>
      <c r="B11" s="14" t="s">
        <v>44</v>
      </c>
      <c r="C11" s="1" t="s">
        <v>45</v>
      </c>
      <c r="E11" s="1" t="s">
        <v>17</v>
      </c>
      <c r="F11" s="1" t="s">
        <v>46</v>
      </c>
      <c r="G11" s="13" t="s">
        <v>47</v>
      </c>
      <c r="H11" s="1" t="s">
        <v>14</v>
      </c>
      <c r="I11" s="1" t="str">
        <f aca="false">_xlfn.CONCAT(H11, G11)</f>
        <v>http://purl.org/ppeo/ppeo.owl#hasAssociatedPublication</v>
      </c>
      <c r="J11" s="1" t="str">
        <f aca="false">_xlfn.CONCAT("https://github.com/gryvity/miafpe/tree/master/ontology/miappexsosa.owl#", G11)</f>
        <v>https://github.com/gryvity/miafpe/tree/master/ontology/miappexsosa.owl#hasAssociatedPublication</v>
      </c>
      <c r="K11" s="12"/>
    </row>
    <row r="12" customFormat="false" ht="35.05" hidden="false" customHeight="false" outlineLevel="0" collapsed="false">
      <c r="A12" s="7"/>
      <c r="B12" s="15" t="s">
        <v>48</v>
      </c>
      <c r="C12" s="16" t="s">
        <v>49</v>
      </c>
      <c r="D12" s="16"/>
      <c r="E12" s="17" t="s">
        <v>50</v>
      </c>
      <c r="F12" s="16" t="s">
        <v>51</v>
      </c>
      <c r="G12" s="18" t="s">
        <v>52</v>
      </c>
      <c r="H12" s="16" t="s">
        <v>14</v>
      </c>
      <c r="I12" s="16" t="str">
        <f aca="false">_xlfn.CONCAT(H12, G12)</f>
        <v>http://purl.org/ppeo/ppeo.owl#hasDataFile</v>
      </c>
      <c r="J12" s="19" t="str">
        <f aca="false">_xlfn.CONCAT("https://github.com/gryvity/miafpe/tree/master/ontology/miappexsosa.owl#", G12)</f>
        <v>https://github.com/gryvity/miafpe/tree/master/ontology/miappexsosa.owl#hasDataFile</v>
      </c>
      <c r="K12" s="19"/>
    </row>
    <row r="13" customFormat="false" ht="35.05" hidden="false" customHeight="false" outlineLevel="0" collapsed="false">
      <c r="A13" s="20" t="s">
        <v>53</v>
      </c>
      <c r="B13" s="21"/>
      <c r="C13" s="22" t="s">
        <v>54</v>
      </c>
      <c r="D13" s="22"/>
      <c r="E13" s="21"/>
      <c r="F13" s="21" t="s">
        <v>55</v>
      </c>
      <c r="G13" s="21" t="s">
        <v>53</v>
      </c>
      <c r="H13" s="22" t="s">
        <v>14</v>
      </c>
      <c r="I13" s="22" t="str">
        <f aca="false">_xlfn.CONCAT(H13, LOWER(G13))</f>
        <v>http://purl.org/ppeo/ppeo.owl#study</v>
      </c>
      <c r="J13" s="21" t="str">
        <f aca="false">_xlfn.CONCAT("https://github.com/gryvity/miafpe/tree/master/ontology/miappexsosa.owl#", G13)</f>
        <v>https://github.com/gryvity/miafpe/tree/master/ontology/miappexsosa.owl#Study</v>
      </c>
      <c r="K13" s="22" t="s">
        <v>56</v>
      </c>
    </row>
    <row r="14" customFormat="false" ht="35.05" hidden="false" customHeight="false" outlineLevel="0" collapsed="false">
      <c r="A14" s="23"/>
      <c r="B14" s="8" t="s">
        <v>57</v>
      </c>
      <c r="C14" s="9" t="s">
        <v>58</v>
      </c>
      <c r="D14" s="9"/>
      <c r="E14" s="9" t="s">
        <v>17</v>
      </c>
      <c r="F14" s="9" t="s">
        <v>13</v>
      </c>
      <c r="G14" s="9" t="s">
        <v>18</v>
      </c>
      <c r="H14" s="9" t="s">
        <v>14</v>
      </c>
      <c r="I14" s="9" t="str">
        <f aca="false">_xlfn.CONCAT(H14, G14)</f>
        <v>http://purl.org/ppeo/ppeo.owl#hasIdentifier</v>
      </c>
      <c r="J14" s="9" t="str">
        <f aca="false">_xlfn.CONCAT("https://github.com/gryvity/miafpe/tree/master/ontology/miappexsosa.owl#", G14)</f>
        <v>https://github.com/gryvity/miafpe/tree/master/ontology/miappexsosa.owl#hasIdentifier</v>
      </c>
      <c r="K14" s="9" t="s">
        <v>59</v>
      </c>
    </row>
    <row r="15" customFormat="false" ht="35.05" hidden="false" customHeight="false" outlineLevel="0" collapsed="false">
      <c r="A15" s="23"/>
      <c r="B15" s="10" t="s">
        <v>60</v>
      </c>
      <c r="C15" s="1" t="s">
        <v>61</v>
      </c>
      <c r="E15" s="1" t="s">
        <v>21</v>
      </c>
      <c r="F15" s="1" t="s">
        <v>13</v>
      </c>
      <c r="G15" s="1" t="s">
        <v>22</v>
      </c>
      <c r="H15" s="1" t="s">
        <v>14</v>
      </c>
      <c r="I15" s="1" t="str">
        <f aca="false">_xlfn.CONCAT(H15, G15)</f>
        <v>http://purl.org/ppeo/ppeo.owl#hasName</v>
      </c>
      <c r="J15" s="1" t="str">
        <f aca="false">_xlfn.CONCAT("https://github.com/gryvity/miafpe/tree/master/ontology/miappexsosa.owl#", G15)</f>
        <v>https://github.com/gryvity/miafpe/tree/master/ontology/miappexsosa.owl#hasName</v>
      </c>
      <c r="K15" s="12"/>
    </row>
    <row r="16" customFormat="false" ht="35.05" hidden="false" customHeight="false" outlineLevel="0" collapsed="false">
      <c r="A16" s="23"/>
      <c r="B16" s="10" t="s">
        <v>62</v>
      </c>
      <c r="C16" s="1" t="s">
        <v>63</v>
      </c>
      <c r="E16" s="1" t="s">
        <v>21</v>
      </c>
      <c r="F16" s="1" t="s">
        <v>25</v>
      </c>
      <c r="G16" s="1" t="s">
        <v>26</v>
      </c>
      <c r="H16" s="1" t="s">
        <v>14</v>
      </c>
      <c r="I16" s="1" t="str">
        <f aca="false">_xlfn.CONCAT(H16, G16)</f>
        <v>http://purl.org/ppeo/ppeo.owl#hasDescription</v>
      </c>
      <c r="J16" s="1" t="str">
        <f aca="false">_xlfn.CONCAT("https://github.com/gryvity/miafpe/tree/master/ontology/miappexsosa.owl#", G16)</f>
        <v>https://github.com/gryvity/miafpe/tree/master/ontology/miappexsosa.owl#hasDescription</v>
      </c>
      <c r="K16" s="12"/>
    </row>
    <row r="17" customFormat="false" ht="35.05" hidden="false" customHeight="false" outlineLevel="0" collapsed="false">
      <c r="A17" s="23"/>
      <c r="B17" s="10" t="s">
        <v>64</v>
      </c>
      <c r="C17" s="1" t="s">
        <v>65</v>
      </c>
      <c r="E17" s="1" t="s">
        <v>29</v>
      </c>
      <c r="F17" s="1" t="s">
        <v>13</v>
      </c>
      <c r="G17" s="1" t="s">
        <v>66</v>
      </c>
      <c r="H17" s="1" t="s">
        <v>14</v>
      </c>
      <c r="I17" s="1" t="str">
        <f aca="false">_xlfn.CONCAT(H17, G17)</f>
        <v>http://purl.org/ppeo/ppeo.owl#hasStartDateTime</v>
      </c>
      <c r="J17" s="1" t="str">
        <f aca="false">_xlfn.CONCAT("https://github.com/gryvity/miafpe/tree/master/ontology/miappexsosa.owl#", G17)</f>
        <v>https://github.com/gryvity/miafpe/tree/master/ontology/miappexsosa.owl#hasStartDateTime</v>
      </c>
      <c r="K17" s="12"/>
    </row>
    <row r="18" customFormat="false" ht="35.05" hidden="false" customHeight="false" outlineLevel="0" collapsed="false">
      <c r="A18" s="23"/>
      <c r="B18" s="10" t="s">
        <v>67</v>
      </c>
      <c r="C18" s="11" t="s">
        <v>68</v>
      </c>
      <c r="E18" s="1" t="s">
        <v>29</v>
      </c>
      <c r="F18" s="1" t="s">
        <v>25</v>
      </c>
      <c r="G18" s="1" t="s">
        <v>69</v>
      </c>
      <c r="H18" s="1" t="s">
        <v>14</v>
      </c>
      <c r="I18" s="1" t="str">
        <f aca="false">_xlfn.CONCAT(H18, G18)</f>
        <v>http://purl.org/ppeo/ppeo.owl#hasEndDateTime</v>
      </c>
      <c r="J18" s="1" t="str">
        <f aca="false">_xlfn.CONCAT("https://github.com/gryvity/miafpe/tree/master/ontology/miappexsosa.owl#", G18)</f>
        <v>https://github.com/gryvity/miafpe/tree/master/ontology/miappexsosa.owl#hasEndDateTime</v>
      </c>
      <c r="K18" s="12"/>
    </row>
    <row r="19" customFormat="false" ht="46.25" hidden="false" customHeight="false" outlineLevel="0" collapsed="false">
      <c r="A19" s="23"/>
      <c r="B19" s="10" t="s">
        <v>70</v>
      </c>
      <c r="C19" s="11" t="s">
        <v>71</v>
      </c>
      <c r="E19" s="24" t="s">
        <v>72</v>
      </c>
      <c r="F19" s="1" t="s">
        <v>55</v>
      </c>
      <c r="G19" s="1" t="s">
        <v>73</v>
      </c>
      <c r="H19" s="1" t="s">
        <v>14</v>
      </c>
      <c r="I19" s="1" t="str">
        <f aca="false">_xlfn.CONCAT(H19, G19)</f>
        <v>http://purl.org/ppeo/ppeo.owl#hasContactInstitution</v>
      </c>
      <c r="J19" s="1" t="str">
        <f aca="false">_xlfn.CONCAT("https://github.com/gryvity/miafpe/tree/master/ontology/miappexsosa.owl#", G19)</f>
        <v>https://github.com/gryvity/miafpe/tree/master/ontology/miappexsosa.owl#hasContactInstitution</v>
      </c>
      <c r="K19" s="12"/>
    </row>
    <row r="20" customFormat="false" ht="34.8" hidden="false" customHeight="false" outlineLevel="0" collapsed="false">
      <c r="A20" s="23"/>
      <c r="B20" s="14" t="s">
        <v>74</v>
      </c>
      <c r="C20" s="1" t="s">
        <v>75</v>
      </c>
      <c r="E20" s="24" t="s">
        <v>74</v>
      </c>
      <c r="F20" s="1" t="s">
        <v>55</v>
      </c>
      <c r="G20" s="13" t="s">
        <v>76</v>
      </c>
      <c r="H20" s="1" t="s">
        <v>14</v>
      </c>
      <c r="I20" s="1" t="str">
        <f aca="false">_xlfn.CONCAT(H20, G20)</f>
        <v>http://purl.org/ppeo/ppeo.owl#hasLocation</v>
      </c>
      <c r="J20" s="1" t="str">
        <f aca="false">_xlfn.CONCAT("https://github.com/gryvity/miafpe/tree/master/ontology/miappexsosa.owl#", G20)</f>
        <v>https://github.com/gryvity/miafpe/tree/master/ontology/miappexsosa.owl#hasLocation</v>
      </c>
      <c r="K20" s="12"/>
    </row>
    <row r="21" customFormat="false" ht="46.25" hidden="false" customHeight="false" outlineLevel="0" collapsed="false">
      <c r="A21" s="23"/>
      <c r="B21" s="14" t="s">
        <v>77</v>
      </c>
      <c r="C21" s="1" t="s">
        <v>78</v>
      </c>
      <c r="E21" s="24" t="s">
        <v>79</v>
      </c>
      <c r="F21" s="1" t="s">
        <v>13</v>
      </c>
      <c r="G21" s="13" t="s">
        <v>80</v>
      </c>
      <c r="H21" s="1" t="s">
        <v>14</v>
      </c>
      <c r="I21" s="1" t="str">
        <f aca="false">_xlfn.CONCAT(H21, G21)</f>
        <v>http://purl.org/ppeo/ppeo.owl#hasExperimentalDesign</v>
      </c>
      <c r="J21" s="1" t="str">
        <f aca="false">_xlfn.CONCAT("https://github.com/gryvity/miafpe/tree/master/ontology/miappexsosa.owl#", G21)</f>
        <v>https://github.com/gryvity/miafpe/tree/master/ontology/miappexsosa.owl#hasExperimentalDesign</v>
      </c>
      <c r="K21" s="12"/>
    </row>
    <row r="22" customFormat="false" ht="35.05" hidden="false" customHeight="false" outlineLevel="0" collapsed="false">
      <c r="A22" s="23"/>
      <c r="B22" s="15" t="s">
        <v>81</v>
      </c>
      <c r="C22" s="16" t="s">
        <v>82</v>
      </c>
      <c r="D22" s="16"/>
      <c r="E22" s="17" t="s">
        <v>50</v>
      </c>
      <c r="F22" s="16" t="s">
        <v>51</v>
      </c>
      <c r="G22" s="18" t="s">
        <v>52</v>
      </c>
      <c r="H22" s="16" t="s">
        <v>14</v>
      </c>
      <c r="I22" s="16" t="str">
        <f aca="false">_xlfn.CONCAT(H22, G22)</f>
        <v>http://purl.org/ppeo/ppeo.owl#hasDataFile</v>
      </c>
      <c r="J22" s="19" t="str">
        <f aca="false">_xlfn.CONCAT("https://github.com/gryvity/miafpe/tree/master/ontology/miappexsosa.owl#", G22)</f>
        <v>https://github.com/gryvity/miafpe/tree/master/ontology/miappexsosa.owl#hasDataFile</v>
      </c>
      <c r="K22" s="19"/>
    </row>
    <row r="23" customFormat="false" ht="35.05" hidden="false" customHeight="false" outlineLevel="0" collapsed="false">
      <c r="A23" s="25" t="s">
        <v>74</v>
      </c>
      <c r="B23" s="4"/>
      <c r="C23" s="5" t="s">
        <v>83</v>
      </c>
      <c r="D23" s="5"/>
      <c r="E23" s="4"/>
      <c r="F23" s="4"/>
      <c r="G23" s="4" t="s">
        <v>74</v>
      </c>
      <c r="H23" s="5" t="s">
        <v>14</v>
      </c>
      <c r="I23" s="5" t="str">
        <f aca="false">_xlfn.CONCAT(H23, LOWER(G23))</f>
        <v>http://purl.org/ppeo/ppeo.owl#location</v>
      </c>
      <c r="J23" s="4" t="str">
        <f aca="false">_xlfn.CONCAT("https://github.com/gryvity/miafpe/tree/master/ontology/miappexsosa.owl#", G23)</f>
        <v>https://github.com/gryvity/miafpe/tree/master/ontology/miappexsosa.owl#Location</v>
      </c>
      <c r="K23" s="4"/>
    </row>
    <row r="24" customFormat="false" ht="35.05" hidden="false" customHeight="false" outlineLevel="0" collapsed="false">
      <c r="A24" s="7"/>
      <c r="B24" s="8" t="s">
        <v>17</v>
      </c>
      <c r="C24" s="9" t="s">
        <v>84</v>
      </c>
      <c r="D24" s="9"/>
      <c r="E24" s="9" t="s">
        <v>17</v>
      </c>
      <c r="F24" s="9" t="s">
        <v>13</v>
      </c>
      <c r="G24" s="9" t="s">
        <v>18</v>
      </c>
      <c r="H24" s="9" t="s">
        <v>14</v>
      </c>
      <c r="I24" s="9" t="str">
        <f aca="false">_xlfn.CONCAT(H24, G24)</f>
        <v>http://purl.org/ppeo/ppeo.owl#hasIdentifier</v>
      </c>
      <c r="J24" s="9" t="str">
        <f aca="false">_xlfn.CONCAT("https://github.com/gryvity/miafpe/tree/master/ontology/miappexsosa.owl#", G24)</f>
        <v>https://github.com/gryvity/miafpe/tree/master/ontology/miappexsosa.owl#hasIdentifier</v>
      </c>
      <c r="K24" s="9" t="s">
        <v>59</v>
      </c>
    </row>
    <row r="25" customFormat="false" ht="35.05" hidden="false" customHeight="false" outlineLevel="0" collapsed="false">
      <c r="A25" s="7"/>
      <c r="B25" s="10" t="s">
        <v>85</v>
      </c>
      <c r="C25" s="11" t="s">
        <v>86</v>
      </c>
      <c r="E25" s="1" t="s">
        <v>21</v>
      </c>
      <c r="F25" s="1" t="s">
        <v>13</v>
      </c>
      <c r="G25" s="1" t="s">
        <v>22</v>
      </c>
      <c r="H25" s="1" t="s">
        <v>14</v>
      </c>
      <c r="I25" s="1" t="str">
        <f aca="false">_xlfn.CONCAT(H25, G25)</f>
        <v>http://purl.org/ppeo/ppeo.owl#hasName</v>
      </c>
      <c r="J25" s="1" t="str">
        <f aca="false">_xlfn.CONCAT("https://github.com/gryvity/miafpe/tree/master/ontology/miappexsosa.owl#", G25)</f>
        <v>https://github.com/gryvity/miafpe/tree/master/ontology/miappexsosa.owl#hasName</v>
      </c>
      <c r="K25" s="12"/>
    </row>
    <row r="26" customFormat="false" ht="35.05" hidden="false" customHeight="false" outlineLevel="0" collapsed="false">
      <c r="A26" s="7"/>
      <c r="B26" s="26" t="s">
        <v>87</v>
      </c>
      <c r="C26" s="27" t="s">
        <v>88</v>
      </c>
      <c r="D26" s="27"/>
      <c r="E26" s="28" t="s">
        <v>21</v>
      </c>
      <c r="F26" s="27" t="s">
        <v>55</v>
      </c>
      <c r="G26" s="27" t="s">
        <v>22</v>
      </c>
      <c r="H26" s="27" t="s">
        <v>14</v>
      </c>
      <c r="I26" s="27" t="str">
        <f aca="false">_xlfn.CONCAT(H26, G26)</f>
        <v>http://purl.org/ppeo/ppeo.owl#hasName</v>
      </c>
      <c r="J26" s="27" t="str">
        <f aca="false">_xlfn.CONCAT("https://github.com/gryvity/miafpe/tree/master/ontology/miappexsosa.owl#", G26)</f>
        <v>https://github.com/gryvity/miafpe/tree/master/ontology/miappexsosa.owl#hasName</v>
      </c>
      <c r="K26" s="29"/>
      <c r="L26" s="1" t="s">
        <v>89</v>
      </c>
      <c r="M26" s="1" t="s">
        <v>90</v>
      </c>
    </row>
    <row r="27" customFormat="false" ht="35.05" hidden="false" customHeight="false" outlineLevel="0" collapsed="false">
      <c r="A27" s="7"/>
      <c r="B27" s="26" t="s">
        <v>91</v>
      </c>
      <c r="C27" s="27" t="s">
        <v>92</v>
      </c>
      <c r="D27" s="27"/>
      <c r="E27" s="27" t="s">
        <v>21</v>
      </c>
      <c r="F27" s="27" t="s">
        <v>55</v>
      </c>
      <c r="G27" s="27" t="s">
        <v>93</v>
      </c>
      <c r="H27" s="27" t="s">
        <v>14</v>
      </c>
      <c r="I27" s="27" t="str">
        <f aca="false">_xlfn.CONCAT(H27, G27)</f>
        <v>http://purl.org/ppeo/ppeo.owl#hasCountryCode</v>
      </c>
      <c r="J27" s="27" t="str">
        <f aca="false">_xlfn.CONCAT("https://github.com/gryvity/miafpe/tree/master/ontology/miappexsosa.owl#", G27)</f>
        <v>https://github.com/gryvity/miafpe/tree/master/ontology/miappexsosa.owl#hasCountryCode</v>
      </c>
      <c r="K27" s="29"/>
    </row>
    <row r="28" customFormat="false" ht="35.05" hidden="false" customHeight="false" outlineLevel="0" collapsed="false">
      <c r="A28" s="7"/>
      <c r="B28" s="10" t="s">
        <v>94</v>
      </c>
      <c r="C28" s="11" t="s">
        <v>95</v>
      </c>
      <c r="E28" s="1" t="s">
        <v>96</v>
      </c>
      <c r="F28" s="1" t="s">
        <v>25</v>
      </c>
      <c r="G28" s="1" t="s">
        <v>97</v>
      </c>
      <c r="H28" s="1" t="s">
        <v>14</v>
      </c>
      <c r="I28" s="1" t="str">
        <f aca="false">_xlfn.CONCAT(H28, G28)</f>
        <v>http://purl.org/ppeo/ppeo.owl#hasLatitude</v>
      </c>
      <c r="J28" s="1" t="str">
        <f aca="false">_xlfn.CONCAT("https://github.com/gryvity/miafpe/tree/master/ontology/miappexsosa.owl#", G28)</f>
        <v>https://github.com/gryvity/miafpe/tree/master/ontology/miappexsosa.owl#hasLatitude</v>
      </c>
      <c r="K28" s="12" t="s">
        <v>98</v>
      </c>
    </row>
    <row r="29" customFormat="false" ht="35.05" hidden="false" customHeight="false" outlineLevel="0" collapsed="false">
      <c r="A29" s="7"/>
      <c r="B29" s="10" t="s">
        <v>99</v>
      </c>
      <c r="C29" s="11" t="s">
        <v>100</v>
      </c>
      <c r="E29" s="1" t="s">
        <v>96</v>
      </c>
      <c r="F29" s="1" t="s">
        <v>25</v>
      </c>
      <c r="G29" s="1" t="s">
        <v>101</v>
      </c>
      <c r="H29" s="1" t="s">
        <v>14</v>
      </c>
      <c r="I29" s="1" t="str">
        <f aca="false">_xlfn.CONCAT(H29, G29)</f>
        <v>http://purl.org/ppeo/ppeo.owl#hasLongitude</v>
      </c>
      <c r="J29" s="1" t="str">
        <f aca="false">_xlfn.CONCAT("https://github.com/gryvity/miafpe/tree/master/ontology/miappexsosa.owl#", G29)</f>
        <v>https://github.com/gryvity/miafpe/tree/master/ontology/miappexsosa.owl#hasLongitude</v>
      </c>
      <c r="K29" s="12" t="s">
        <v>102</v>
      </c>
    </row>
    <row r="30" customFormat="false" ht="35.05" hidden="false" customHeight="false" outlineLevel="0" collapsed="false">
      <c r="A30" s="7"/>
      <c r="B30" s="14" t="s">
        <v>103</v>
      </c>
      <c r="C30" s="11" t="s">
        <v>104</v>
      </c>
      <c r="E30" s="1" t="s">
        <v>96</v>
      </c>
      <c r="F30" s="1" t="s">
        <v>25</v>
      </c>
      <c r="G30" s="13" t="s">
        <v>105</v>
      </c>
      <c r="H30" s="1" t="s">
        <v>14</v>
      </c>
      <c r="I30" s="1" t="str">
        <f aca="false">_xlfn.CONCAT(H30, G30)</f>
        <v>http://purl.org/ppeo/ppeo.owl#hasAltitude</v>
      </c>
      <c r="J30" s="1" t="str">
        <f aca="false">_xlfn.CONCAT("https://github.com/gryvity/miafpe/tree/master/ontology/miappexsosa.owl#", G30)</f>
        <v>https://github.com/gryvity/miafpe/tree/master/ontology/miappexsosa.owl#hasAltitude</v>
      </c>
      <c r="K30" s="12" t="s">
        <v>106</v>
      </c>
    </row>
    <row r="31" customFormat="false" ht="35.05" hidden="false" customHeight="false" outlineLevel="0" collapsed="false">
      <c r="A31" s="7"/>
      <c r="B31" s="26" t="s">
        <v>107</v>
      </c>
      <c r="C31" s="27" t="s">
        <v>108</v>
      </c>
      <c r="D31" s="27"/>
      <c r="E31" s="27" t="s">
        <v>21</v>
      </c>
      <c r="F31" s="27" t="s">
        <v>13</v>
      </c>
      <c r="G31" s="27" t="s">
        <v>26</v>
      </c>
      <c r="H31" s="27" t="s">
        <v>14</v>
      </c>
      <c r="I31" s="27" t="str">
        <f aca="false">_xlfn.CONCAT(H31,G31)</f>
        <v>http://purl.org/ppeo/ppeo.owl#hasDescription</v>
      </c>
      <c r="J31" s="27" t="str">
        <f aca="false">_xlfn.CONCAT("https://github.com/gryvity/miafpe/tree/master/ontology/miappexsosa.owl#", G31)</f>
        <v>https://github.com/gryvity/miafpe/tree/master/ontology/miappexsosa.owl#hasDescription</v>
      </c>
      <c r="K31" s="27" t="s">
        <v>109</v>
      </c>
      <c r="L31" s="1" t="s">
        <v>110</v>
      </c>
      <c r="M31" s="1" t="s">
        <v>111</v>
      </c>
    </row>
    <row r="32" s="30" customFormat="true" ht="46.25" hidden="false" customHeight="false" outlineLevel="0" collapsed="false">
      <c r="A32" s="7"/>
      <c r="B32" s="26" t="s">
        <v>112</v>
      </c>
      <c r="C32" s="27" t="s">
        <v>113</v>
      </c>
      <c r="D32" s="27"/>
      <c r="E32" s="27" t="s">
        <v>21</v>
      </c>
      <c r="F32" s="27" t="s">
        <v>13</v>
      </c>
      <c r="G32" s="27" t="s">
        <v>114</v>
      </c>
      <c r="H32" s="27" t="s">
        <v>14</v>
      </c>
      <c r="I32" s="27" t="str">
        <f aca="false">_xlfn.CONCAT(H32,G32)</f>
        <v>http://purl.org/ppeo/ppeo.owl#hasGrowthFacilityType</v>
      </c>
      <c r="J32" s="27" t="str">
        <f aca="false">_xlfn.CONCAT("https://github.com/gryvity/miafpe/tree/master/ontology/miappexsosa.owl#", G32)</f>
        <v>https://github.com/gryvity/miafpe/tree/master/ontology/miappexsosa.owl#hasGrowthFacilityType</v>
      </c>
      <c r="K32" s="27" t="s">
        <v>109</v>
      </c>
      <c r="L32" s="1"/>
      <c r="M32" s="1"/>
    </row>
    <row r="33" customFormat="false" ht="46.25" hidden="false" customHeight="false" outlineLevel="0" collapsed="false">
      <c r="A33" s="7"/>
      <c r="B33" s="26" t="s">
        <v>115</v>
      </c>
      <c r="C33" s="27" t="s">
        <v>116</v>
      </c>
      <c r="D33" s="27"/>
      <c r="E33" s="27" t="s">
        <v>17</v>
      </c>
      <c r="F33" s="27" t="s">
        <v>25</v>
      </c>
      <c r="G33" s="27" t="s">
        <v>117</v>
      </c>
      <c r="H33" s="27" t="s">
        <v>14</v>
      </c>
      <c r="I33" s="27" t="str">
        <f aca="false">_xlfn.CONCAT(H33,G33)</f>
        <v>http://purl.org/ppeo/ppeo.owl#hasExternalIdentifier</v>
      </c>
      <c r="J33" s="27" t="str">
        <f aca="false">_xlfn.CONCAT("https://github.com/gryvity/miafpe/tree/master/ontology/miappexsosa.owl#", G33)</f>
        <v>https://github.com/gryvity/miafpe/tree/master/ontology/miappexsosa.owl#hasExternalIdentifier</v>
      </c>
      <c r="K33" s="27"/>
    </row>
    <row r="34" customFormat="false" ht="35.05" hidden="false" customHeight="false" outlineLevel="0" collapsed="false">
      <c r="A34" s="7"/>
      <c r="B34" s="31" t="s">
        <v>118</v>
      </c>
      <c r="C34" s="19" t="s">
        <v>119</v>
      </c>
      <c r="D34" s="19"/>
      <c r="E34" s="17" t="s">
        <v>50</v>
      </c>
      <c r="F34" s="19" t="s">
        <v>51</v>
      </c>
      <c r="G34" s="19" t="s">
        <v>52</v>
      </c>
      <c r="H34" s="16" t="s">
        <v>14</v>
      </c>
      <c r="I34" s="16" t="str">
        <f aca="false">_xlfn.CONCAT(H34, G34)</f>
        <v>http://purl.org/ppeo/ppeo.owl#hasDataFile</v>
      </c>
      <c r="J34" s="19" t="str">
        <f aca="false">_xlfn.CONCAT("https://github.com/gryvity/miafpe/tree/master/ontology/miappexsosa.owl#", G34)</f>
        <v>https://github.com/gryvity/miafpe/tree/master/ontology/miappexsosa.owl#hasDataFile</v>
      </c>
      <c r="K34" s="19"/>
    </row>
    <row r="35" customFormat="false" ht="35.05" hidden="false" customHeight="false" outlineLevel="0" collapsed="false">
      <c r="A35" s="32" t="s">
        <v>72</v>
      </c>
      <c r="B35" s="21"/>
      <c r="C35" s="22" t="s">
        <v>120</v>
      </c>
      <c r="D35" s="22"/>
      <c r="E35" s="21"/>
      <c r="F35" s="21"/>
      <c r="G35" s="21" t="s">
        <v>72</v>
      </c>
      <c r="H35" s="22" t="s">
        <v>14</v>
      </c>
      <c r="I35" s="22" t="str">
        <f aca="false">_xlfn.CONCAT(H35, LOWER(G35))</f>
        <v>http://purl.org/ppeo/ppeo.owl#institution</v>
      </c>
      <c r="J35" s="21" t="str">
        <f aca="false">_xlfn.CONCAT("https://github.com/gryvity/miafpe/tree/master/ontology/miappexsosa.owl#", G35)</f>
        <v>https://github.com/gryvity/miafpe/tree/master/ontology/miappexsosa.owl#Institution</v>
      </c>
      <c r="K35" s="21"/>
    </row>
    <row r="36" customFormat="false" ht="35.05" hidden="false" customHeight="false" outlineLevel="0" collapsed="false">
      <c r="A36" s="23"/>
      <c r="B36" s="10" t="s">
        <v>17</v>
      </c>
      <c r="C36" s="1" t="s">
        <v>84</v>
      </c>
      <c r="E36" s="1" t="s">
        <v>17</v>
      </c>
      <c r="F36" s="1" t="s">
        <v>13</v>
      </c>
      <c r="G36" s="1" t="s">
        <v>18</v>
      </c>
      <c r="H36" s="1" t="s">
        <v>14</v>
      </c>
      <c r="I36" s="1" t="str">
        <f aca="false">_xlfn.CONCAT(H36, G36)</f>
        <v>http://purl.org/ppeo/ppeo.owl#hasIdentifier</v>
      </c>
      <c r="J36" s="1" t="str">
        <f aca="false">_xlfn.CONCAT("https://github.com/gryvity/miafpe/tree/master/ontology/miappexsosa.owl#", G36)</f>
        <v>https://github.com/gryvity/miafpe/tree/master/ontology/miappexsosa.owl#hasIdentifier</v>
      </c>
      <c r="K36" s="1" t="s">
        <v>59</v>
      </c>
    </row>
    <row r="37" customFormat="false" ht="35.05" hidden="false" customHeight="false" outlineLevel="0" collapsed="false">
      <c r="A37" s="23"/>
      <c r="B37" s="10" t="s">
        <v>121</v>
      </c>
      <c r="C37" s="1" t="s">
        <v>122</v>
      </c>
      <c r="E37" s="1" t="s">
        <v>21</v>
      </c>
      <c r="F37" s="1" t="s">
        <v>13</v>
      </c>
      <c r="G37" s="1" t="s">
        <v>22</v>
      </c>
      <c r="H37" s="1" t="s">
        <v>14</v>
      </c>
      <c r="I37" s="1" t="str">
        <f aca="false">_xlfn.CONCAT(H37, G37)</f>
        <v>http://purl.org/ppeo/ppeo.owl#hasName</v>
      </c>
      <c r="J37" s="1" t="str">
        <f aca="false">_xlfn.CONCAT("https://github.com/gryvity/miafpe/tree/master/ontology/miappexsosa.owl#", G37)</f>
        <v>https://github.com/gryvity/miafpe/tree/master/ontology/miappexsosa.owl#hasName</v>
      </c>
    </row>
    <row r="38" customFormat="false" ht="35.05" hidden="false" customHeight="false" outlineLevel="0" collapsed="false">
      <c r="A38" s="23"/>
      <c r="B38" s="10" t="s">
        <v>123</v>
      </c>
      <c r="C38" s="1" t="s">
        <v>124</v>
      </c>
      <c r="E38" s="1" t="s">
        <v>21</v>
      </c>
      <c r="F38" s="1" t="s">
        <v>13</v>
      </c>
      <c r="G38" s="1" t="s">
        <v>125</v>
      </c>
      <c r="H38" s="1" t="s">
        <v>14</v>
      </c>
      <c r="I38" s="1" t="str">
        <f aca="false">_xlfn.CONCAT(H38, G38)</f>
        <v>http://purl.org/ppeo/ppeo.owl#hasAddress</v>
      </c>
      <c r="J38" s="1" t="str">
        <f aca="false">_xlfn.CONCAT("https://github.com/gryvity/miafpe/tree/master/ontology/miappexsosa.owl#", G38)</f>
        <v>https://github.com/gryvity/miafpe/tree/master/ontology/miappexsosa.owl#hasAddress</v>
      </c>
    </row>
    <row r="39" customFormat="false" ht="35.05" hidden="false" customHeight="false" outlineLevel="0" collapsed="false">
      <c r="A39" s="23"/>
      <c r="B39" s="26" t="s">
        <v>87</v>
      </c>
      <c r="C39" s="27" t="s">
        <v>88</v>
      </c>
      <c r="D39" s="27"/>
      <c r="E39" s="27" t="s">
        <v>21</v>
      </c>
      <c r="F39" s="27" t="s">
        <v>13</v>
      </c>
      <c r="G39" s="27" t="s">
        <v>22</v>
      </c>
      <c r="H39" s="27" t="s">
        <v>14</v>
      </c>
      <c r="I39" s="27" t="str">
        <f aca="false">_xlfn.CONCAT(H39,G39)</f>
        <v>http://purl.org/ppeo/ppeo.owl#hasName</v>
      </c>
      <c r="J39" s="27" t="str">
        <f aca="false">_xlfn.CONCAT("https://github.com/gryvity/miafpe/tree/master/ontology/miappexsosa.owl#", G39)</f>
        <v>https://github.com/gryvity/miafpe/tree/master/ontology/miappexsosa.owl#hasName</v>
      </c>
      <c r="K39" s="27"/>
      <c r="L39" s="1" t="s">
        <v>89</v>
      </c>
    </row>
    <row r="40" customFormat="false" ht="35.05" hidden="false" customHeight="false" outlineLevel="0" collapsed="false">
      <c r="A40" s="23"/>
      <c r="B40" s="26" t="s">
        <v>91</v>
      </c>
      <c r="C40" s="27" t="s">
        <v>92</v>
      </c>
      <c r="D40" s="27"/>
      <c r="E40" s="27" t="s">
        <v>21</v>
      </c>
      <c r="F40" s="27" t="s">
        <v>13</v>
      </c>
      <c r="G40" s="27" t="s">
        <v>93</v>
      </c>
      <c r="H40" s="27" t="s">
        <v>14</v>
      </c>
      <c r="I40" s="27" t="str">
        <f aca="false">_xlfn.CONCAT(H40,G40)</f>
        <v>http://purl.org/ppeo/ppeo.owl#hasCountryCode</v>
      </c>
      <c r="J40" s="27" t="str">
        <f aca="false">_xlfn.CONCAT("https://github.com/gryvity/miafpe/tree/master/ontology/miappexsosa.owl#", G40)</f>
        <v>https://github.com/gryvity/miafpe/tree/master/ontology/miappexsosa.owl#hasCountryCode</v>
      </c>
      <c r="K40" s="27"/>
    </row>
    <row r="41" customFormat="false" ht="35.05" hidden="false" customHeight="false" outlineLevel="0" collapsed="false">
      <c r="A41" s="23"/>
      <c r="B41" s="10" t="s">
        <v>126</v>
      </c>
      <c r="C41" s="1" t="s">
        <v>127</v>
      </c>
      <c r="E41" s="1" t="s">
        <v>21</v>
      </c>
      <c r="F41" s="1" t="s">
        <v>25</v>
      </c>
      <c r="G41" s="1" t="s">
        <v>128</v>
      </c>
      <c r="H41" s="1" t="s">
        <v>14</v>
      </c>
      <c r="I41" s="1" t="str">
        <f aca="false">_xlfn.CONCAT(H41, G41)</f>
        <v>http://purl.org/ppeo/ppeo.owl#hasInstituteCode</v>
      </c>
      <c r="J41" s="1" t="str">
        <f aca="false">_xlfn.CONCAT("https://github.com/gryvity/miafpe/tree/master/ontology/miappexsosa.owl#", G41)</f>
        <v>https://github.com/gryvity/miafpe/tree/master/ontology/miappexsosa.owl#hasInstituteCode</v>
      </c>
    </row>
    <row r="42" customFormat="false" ht="35.05" hidden="false" customHeight="false" outlineLevel="0" collapsed="false">
      <c r="A42" s="23"/>
      <c r="B42" s="10" t="s">
        <v>129</v>
      </c>
      <c r="C42" s="1" t="s">
        <v>129</v>
      </c>
      <c r="E42" s="1" t="s">
        <v>17</v>
      </c>
      <c r="F42" s="1" t="s">
        <v>25</v>
      </c>
      <c r="G42" s="13" t="s">
        <v>130</v>
      </c>
      <c r="J42" s="1" t="str">
        <f aca="false">_xlfn.CONCAT("https://github.com/gryvity/miafpe/tree/master/ontology/miappexsosa.owl#", G42)</f>
        <v>https://github.com/gryvity/miafpe/tree/master/ontology/miappexsosa.owl#hasRORID</v>
      </c>
    </row>
    <row r="43" customFormat="false" ht="35.05" hidden="false" customHeight="false" outlineLevel="0" collapsed="false">
      <c r="A43" s="23"/>
      <c r="B43" s="10" t="s">
        <v>131</v>
      </c>
      <c r="C43" s="1" t="s">
        <v>131</v>
      </c>
      <c r="E43" s="1" t="s">
        <v>17</v>
      </c>
      <c r="F43" s="1" t="s">
        <v>25</v>
      </c>
      <c r="G43" s="13" t="s">
        <v>132</v>
      </c>
      <c r="J43" s="1" t="str">
        <f aca="false">_xlfn.CONCAT("https://github.com/gryvity/miafpe/tree/master/ontology/miappexsosa.owl#", G43)</f>
        <v>https://github.com/gryvity/miafpe/tree/master/ontology/miappexsosa.owl#hasGRIDID</v>
      </c>
    </row>
    <row r="44" customFormat="false" ht="35.05" hidden="false" customHeight="false" outlineLevel="0" collapsed="false">
      <c r="A44" s="23"/>
      <c r="B44" s="10" t="s">
        <v>133</v>
      </c>
      <c r="C44" s="1" t="s">
        <v>133</v>
      </c>
      <c r="E44" s="1" t="s">
        <v>17</v>
      </c>
      <c r="F44" s="1" t="s">
        <v>25</v>
      </c>
      <c r="G44" s="13" t="s">
        <v>134</v>
      </c>
      <c r="J44" s="1" t="str">
        <f aca="false">_xlfn.CONCAT("https://github.com/gryvity/miafpe/tree/master/ontology/miappexsosa.owl#", G44)</f>
        <v>https://github.com/gryvity/miafpe/tree/master/ontology/miappexsosa.owl#hasINSIID</v>
      </c>
    </row>
    <row r="45" customFormat="false" ht="35.05" hidden="false" customHeight="false" outlineLevel="0" collapsed="false">
      <c r="A45" s="23"/>
      <c r="B45" s="10" t="s">
        <v>135</v>
      </c>
      <c r="C45" s="1" t="s">
        <v>135</v>
      </c>
      <c r="E45" s="1" t="s">
        <v>17</v>
      </c>
      <c r="F45" s="1" t="s">
        <v>25</v>
      </c>
      <c r="G45" s="13" t="s">
        <v>136</v>
      </c>
      <c r="J45" s="1" t="str">
        <f aca="false">_xlfn.CONCAT("https://github.com/gryvity/miafpe/tree/master/ontology/miappexsosa.owl#", G45)</f>
        <v>https://github.com/gryvity/miafpe/tree/master/ontology/miappexsosa.owl#hasCrossrefID</v>
      </c>
    </row>
    <row r="46" customFormat="false" ht="35.05" hidden="false" customHeight="false" outlineLevel="0" collapsed="false">
      <c r="A46" s="23"/>
      <c r="B46" s="10" t="s">
        <v>137</v>
      </c>
      <c r="C46" s="1" t="s">
        <v>137</v>
      </c>
      <c r="E46" s="1" t="s">
        <v>17</v>
      </c>
      <c r="F46" s="1" t="s">
        <v>25</v>
      </c>
      <c r="G46" s="13" t="s">
        <v>138</v>
      </c>
      <c r="J46" s="1" t="str">
        <f aca="false">_xlfn.CONCAT("https://github.com/gryvity/miafpe/tree/master/ontology/miappexsosa.owl#", G46)</f>
        <v>https://github.com/gryvity/miafpe/tree/master/ontology/miappexsosa.owl#hasWikiID</v>
      </c>
    </row>
    <row r="47" customFormat="false" ht="46.25" hidden="false" customHeight="false" outlineLevel="0" collapsed="false">
      <c r="A47" s="23"/>
      <c r="B47" s="10" t="s">
        <v>139</v>
      </c>
      <c r="C47" s="1" t="s">
        <v>140</v>
      </c>
      <c r="E47" s="1" t="s">
        <v>17</v>
      </c>
      <c r="F47" s="1" t="s">
        <v>25</v>
      </c>
      <c r="G47" s="13" t="s">
        <v>117</v>
      </c>
      <c r="H47" s="1" t="s">
        <v>14</v>
      </c>
      <c r="I47" s="1" t="str">
        <f aca="false">_xlfn.CONCAT(H47, G47)</f>
        <v>http://purl.org/ppeo/ppeo.owl#hasExternalIdentifier</v>
      </c>
      <c r="J47" s="1" t="str">
        <f aca="false">_xlfn.CONCAT("https://github.com/gryvity/miafpe/tree/master/ontology/miappexsosa.owl#", G47)</f>
        <v>https://github.com/gryvity/miafpe/tree/master/ontology/miappexsosa.owl#hasExternalIdentifier</v>
      </c>
    </row>
    <row r="48" s="30" customFormat="true" ht="45.8" hidden="false" customHeight="false" outlineLevel="0" collapsed="false">
      <c r="A48" s="25" t="s">
        <v>77</v>
      </c>
      <c r="B48" s="4"/>
      <c r="C48" s="5" t="s">
        <v>141</v>
      </c>
      <c r="D48" s="5"/>
      <c r="E48" s="4"/>
      <c r="F48" s="4"/>
      <c r="G48" s="4" t="s">
        <v>79</v>
      </c>
      <c r="H48" s="5" t="s">
        <v>14</v>
      </c>
      <c r="I48" s="5" t="str">
        <f aca="false">_xlfn.CONCAT(H48, "experimental_design")</f>
        <v>http://purl.org/ppeo/ppeo.owl#experimental_design</v>
      </c>
      <c r="J48" s="4" t="str">
        <f aca="false">_xlfn.CONCAT("https://github.com/gryvity/miafpe/tree/master/ontology/miappexsosa.owl#", G48)</f>
        <v>https://github.com/gryvity/miafpe/tree/master/ontology/miappexsosa.owl#ExperimentalDesign</v>
      </c>
      <c r="K48" s="4"/>
    </row>
    <row r="49" customFormat="false" ht="34.8" hidden="false" customHeight="false" outlineLevel="0" collapsed="false">
      <c r="A49" s="7"/>
      <c r="B49" s="10" t="s">
        <v>17</v>
      </c>
      <c r="C49" s="1" t="s">
        <v>84</v>
      </c>
      <c r="E49" s="1" t="s">
        <v>17</v>
      </c>
      <c r="F49" s="1" t="s">
        <v>13</v>
      </c>
      <c r="G49" s="1" t="s">
        <v>18</v>
      </c>
      <c r="H49" s="1" t="s">
        <v>14</v>
      </c>
      <c r="I49" s="1" t="str">
        <f aca="false">_xlfn.CONCAT(H49, G49)</f>
        <v>http://purl.org/ppeo/ppeo.owl#hasIdentifier</v>
      </c>
      <c r="J49" s="1" t="str">
        <f aca="false">_xlfn.CONCAT("https://github.com/gryvity/miafpe/tree/master/ontology/miappexsosa.owl#", G49)</f>
        <v>https://github.com/gryvity/miafpe/tree/master/ontology/miappexsosa.owl#hasIdentifier</v>
      </c>
    </row>
    <row r="50" customFormat="false" ht="46.25" hidden="false" customHeight="false" outlineLevel="0" collapsed="false">
      <c r="A50" s="7"/>
      <c r="B50" s="10" t="s">
        <v>142</v>
      </c>
      <c r="C50" s="1" t="s">
        <v>143</v>
      </c>
      <c r="E50" s="1" t="s">
        <v>21</v>
      </c>
      <c r="F50" s="1" t="s">
        <v>13</v>
      </c>
      <c r="G50" s="1" t="s">
        <v>26</v>
      </c>
      <c r="H50" s="1" t="s">
        <v>14</v>
      </c>
      <c r="I50" s="1" t="str">
        <f aca="false">_xlfn.CONCAT(H50, G50)</f>
        <v>http://purl.org/ppeo/ppeo.owl#hasDescription</v>
      </c>
      <c r="J50" s="1" t="str">
        <f aca="false">_xlfn.CONCAT("https://github.com/gryvity/miafpe/tree/master/ontology/miappexsosa.owl#", G50)</f>
        <v>https://github.com/gryvity/miafpe/tree/master/ontology/miappexsosa.owl#hasDescription</v>
      </c>
    </row>
    <row r="51" customFormat="false" ht="34.8" hidden="false" customHeight="false" outlineLevel="0" collapsed="false">
      <c r="A51" s="7"/>
      <c r="B51" s="10" t="s">
        <v>144</v>
      </c>
      <c r="C51" s="1" t="s">
        <v>145</v>
      </c>
      <c r="E51" s="24" t="s">
        <v>50</v>
      </c>
      <c r="F51" s="1" t="s">
        <v>51</v>
      </c>
      <c r="G51" s="1" t="s">
        <v>52</v>
      </c>
      <c r="H51" s="1" t="s">
        <v>14</v>
      </c>
      <c r="I51" s="1" t="str">
        <f aca="false">_xlfn.CONCAT(H51, G51)</f>
        <v>http://purl.org/ppeo/ppeo.owl#hasDataFile</v>
      </c>
      <c r="J51" s="1" t="str">
        <f aca="false">_xlfn.CONCAT("https://github.com/gryvity/miafpe/tree/master/ontology/miappexsosa.owl#", G51)</f>
        <v>https://github.com/gryvity/miafpe/tree/master/ontology/miappexsosa.owl#hasDataFile</v>
      </c>
    </row>
    <row r="52" customFormat="false" ht="46" hidden="false" customHeight="false" outlineLevel="0" collapsed="false">
      <c r="A52" s="7"/>
      <c r="B52" s="10" t="s">
        <v>146</v>
      </c>
      <c r="C52" s="1" t="s">
        <v>147</v>
      </c>
      <c r="E52" s="1" t="s">
        <v>21</v>
      </c>
      <c r="F52" s="1" t="s">
        <v>25</v>
      </c>
      <c r="G52" s="1" t="s">
        <v>148</v>
      </c>
      <c r="H52" s="1" t="s">
        <v>14</v>
      </c>
      <c r="I52" s="1" t="str">
        <f aca="false">_xlfn.CONCAT(H52, G52)</f>
        <v>http://purl.org/ppeo/ppeo.owl#hasCulturalPractices</v>
      </c>
      <c r="J52" s="1" t="str">
        <f aca="false">_xlfn.CONCAT("https://github.com/gryvity/miafpe/tree/master/ontology/miappexsosa.owl#", G52)</f>
        <v>https://github.com/gryvity/miafpe/tree/master/ontology/miappexsosa.owl#hasCulturalPractices</v>
      </c>
    </row>
    <row r="53" customFormat="false" ht="46" hidden="false" customHeight="false" outlineLevel="0" collapsed="false">
      <c r="A53" s="7"/>
      <c r="B53" s="10" t="s">
        <v>149</v>
      </c>
      <c r="C53" s="1" t="s">
        <v>150</v>
      </c>
      <c r="E53" s="1" t="s">
        <v>21</v>
      </c>
      <c r="F53" s="1" t="s">
        <v>25</v>
      </c>
      <c r="G53" s="1" t="s">
        <v>151</v>
      </c>
      <c r="H53" s="1" t="s">
        <v>14</v>
      </c>
      <c r="I53" s="1" t="str">
        <f aca="false">_xlfn.CONCAT(H53, G53)</f>
        <v>http://purl.org/ppeo/ppeo.owl#hasObservationLevelHierarchy</v>
      </c>
      <c r="J53" s="1" t="str">
        <f aca="false">_xlfn.CONCAT("https://github.com/gryvity/miafpe/tree/master/ontology/miappexsosa.owl#", G53)</f>
        <v>https://github.com/gryvity/miafpe/tree/master/ontology/miappexsosa.owl#hasObservationLevelHierarchy</v>
      </c>
    </row>
    <row r="54" customFormat="false" ht="35.05" hidden="false" customHeight="false" outlineLevel="0" collapsed="false">
      <c r="A54" s="32" t="s">
        <v>152</v>
      </c>
      <c r="B54" s="21"/>
      <c r="C54" s="22" t="s">
        <v>153</v>
      </c>
      <c r="D54" s="22"/>
      <c r="E54" s="21"/>
      <c r="F54" s="21"/>
      <c r="G54" s="21" t="s">
        <v>50</v>
      </c>
      <c r="H54" s="22" t="s">
        <v>14</v>
      </c>
      <c r="I54" s="22" t="str">
        <f aca="false">_xlfn.CONCAT(H54,"data_file")</f>
        <v>http://purl.org/ppeo/ppeo.owl#data_file</v>
      </c>
      <c r="J54" s="21" t="str">
        <f aca="false">_xlfn.CONCAT("https://github.com/gryvity/miafpe/tree/master/ontology/miappexsosa.owl#", G54)</f>
        <v>https://github.com/gryvity/miafpe/tree/master/ontology/miappexsosa.owl#DataFile</v>
      </c>
      <c r="K54" s="21"/>
    </row>
    <row r="55" s="13" customFormat="true" ht="35.05" hidden="false" customHeight="false" outlineLevel="0" collapsed="false">
      <c r="A55" s="33"/>
      <c r="B55" s="14" t="s">
        <v>17</v>
      </c>
      <c r="C55" s="13" t="s">
        <v>84</v>
      </c>
      <c r="E55" s="13" t="s">
        <v>17</v>
      </c>
      <c r="F55" s="13" t="s">
        <v>13</v>
      </c>
      <c r="G55" s="13" t="s">
        <v>18</v>
      </c>
      <c r="H55" s="13" t="s">
        <v>14</v>
      </c>
      <c r="I55" s="13" t="str">
        <f aca="false">_xlfn.CONCAT(H55, G55)</f>
        <v>http://purl.org/ppeo/ppeo.owl#hasIdentifier</v>
      </c>
      <c r="J55" s="13" t="str">
        <f aca="false">_xlfn.CONCAT("https://github.com/gryvity/miafpe/tree/master/ontology/miappexsosa.owl#", G55)</f>
        <v>https://github.com/gryvity/miafpe/tree/master/ontology/miappexsosa.owl#hasIdentifier</v>
      </c>
    </row>
    <row r="56" s="13" customFormat="true" ht="35.05" hidden="false" customHeight="false" outlineLevel="0" collapsed="false">
      <c r="A56" s="33"/>
      <c r="B56" s="14" t="s">
        <v>154</v>
      </c>
      <c r="C56" s="13" t="s">
        <v>155</v>
      </c>
      <c r="E56" s="13" t="s">
        <v>156</v>
      </c>
      <c r="F56" s="13" t="s">
        <v>13</v>
      </c>
      <c r="G56" s="13" t="s">
        <v>157</v>
      </c>
      <c r="H56" s="13" t="s">
        <v>14</v>
      </c>
      <c r="I56" s="13" t="str">
        <f aca="false">_xlfn.CONCAT(H56, G56)</f>
        <v>http://purl.org/ppeo/ppeo.owl#hasDigitalLocation</v>
      </c>
      <c r="J56" s="13" t="str">
        <f aca="false">_xlfn.CONCAT("https://github.com/gryvity/miafpe/tree/master/ontology/miappexsosa.owl#", G56)</f>
        <v>https://github.com/gryvity/miafpe/tree/master/ontology/miappexsosa.owl#hasDigitalLocation</v>
      </c>
    </row>
    <row r="57" s="13" customFormat="true" ht="35.05" hidden="false" customHeight="false" outlineLevel="0" collapsed="false">
      <c r="A57" s="33"/>
      <c r="B57" s="14" t="s">
        <v>158</v>
      </c>
      <c r="C57" s="13" t="s">
        <v>159</v>
      </c>
      <c r="E57" s="13" t="s">
        <v>21</v>
      </c>
      <c r="F57" s="13" t="s">
        <v>13</v>
      </c>
      <c r="G57" s="13" t="s">
        <v>26</v>
      </c>
      <c r="H57" s="13" t="s">
        <v>14</v>
      </c>
      <c r="I57" s="13" t="str">
        <f aca="false">_xlfn.CONCAT(H57, G57)</f>
        <v>http://purl.org/ppeo/ppeo.owl#hasDescription</v>
      </c>
      <c r="J57" s="13" t="str">
        <f aca="false">_xlfn.CONCAT("https://github.com/gryvity/miafpe/tree/master/ontology/miappexsosa.owl#", G57)</f>
        <v>https://github.com/gryvity/miafpe/tree/master/ontology/miappexsosa.owl#hasDescription</v>
      </c>
    </row>
    <row r="58" s="13" customFormat="true" ht="35.05" hidden="false" customHeight="false" outlineLevel="0" collapsed="false">
      <c r="A58" s="33"/>
      <c r="B58" s="14" t="s">
        <v>160</v>
      </c>
      <c r="C58" s="13" t="s">
        <v>161</v>
      </c>
      <c r="E58" s="13" t="s">
        <v>21</v>
      </c>
      <c r="F58" s="13" t="s">
        <v>25</v>
      </c>
      <c r="G58" s="13" t="s">
        <v>39</v>
      </c>
      <c r="H58" s="13" t="s">
        <v>14</v>
      </c>
      <c r="I58" s="13" t="str">
        <f aca="false">_xlfn.CONCAT(H58, G58)</f>
        <v>http://purl.org/ppeo/ppeo.owl#hasVersion</v>
      </c>
      <c r="J58" s="13" t="str">
        <f aca="false">_xlfn.CONCAT("https://github.com/gryvity/miafpe/tree/master/ontology/miappexsosa.owl#", G58)</f>
        <v>https://github.com/gryvity/miafpe/tree/master/ontology/miappexsosa.owl#hasVersion</v>
      </c>
    </row>
    <row r="59" s="13" customFormat="true" ht="35.05" hidden="false" customHeight="false" outlineLevel="0" collapsed="false">
      <c r="A59" s="33"/>
      <c r="B59" s="14" t="s">
        <v>162</v>
      </c>
      <c r="C59" s="13" t="s">
        <v>163</v>
      </c>
      <c r="E59" s="13" t="s">
        <v>21</v>
      </c>
      <c r="F59" s="13" t="s">
        <v>25</v>
      </c>
      <c r="G59" s="13" t="s">
        <v>164</v>
      </c>
      <c r="H59" s="13" t="s">
        <v>14</v>
      </c>
      <c r="I59" s="13" t="str">
        <f aca="false">_xlfn.CONCAT(H59, G59)</f>
        <v>http://purl.org/ppeo/ppeo.owl#hasType</v>
      </c>
      <c r="J59" s="13" t="str">
        <f aca="false">_xlfn.CONCAT("https://github.com/gryvity/miafpe/tree/master/ontology/miappexsosa.owl#", G59)</f>
        <v>https://github.com/gryvity/miafpe/tree/master/ontology/miappexsosa.owl#hasType</v>
      </c>
    </row>
    <row r="60" s="13" customFormat="true" ht="35.05" hidden="false" customHeight="false" outlineLevel="0" collapsed="false">
      <c r="A60" s="33"/>
      <c r="B60" s="14" t="s">
        <v>165</v>
      </c>
      <c r="C60" s="13" t="s">
        <v>166</v>
      </c>
      <c r="E60" s="34" t="s">
        <v>167</v>
      </c>
      <c r="F60" s="13" t="s">
        <v>51</v>
      </c>
      <c r="G60" s="13" t="s">
        <v>168</v>
      </c>
      <c r="H60" s="13" t="s">
        <v>14</v>
      </c>
      <c r="I60" s="13" t="str">
        <f aca="false">_xlfn.CONCAT(H60, G60)</f>
        <v>http://purl.org/ppeo/ppeo.owl#partOf</v>
      </c>
      <c r="J60" s="13" t="str">
        <f aca="false">_xlfn.CONCAT("https://github.com/gryvity/miafpe/tree/master/ontology/miappexsosa.owl#", G60)</f>
        <v>https://github.com/gryvity/miafpe/tree/master/ontology/miappexsosa.owl#partOf</v>
      </c>
    </row>
    <row r="61" customFormat="false" ht="35.05" hidden="false" customHeight="false" outlineLevel="0" collapsed="false">
      <c r="A61" s="25" t="s">
        <v>169</v>
      </c>
      <c r="B61" s="4"/>
      <c r="C61" s="5" t="s">
        <v>170</v>
      </c>
      <c r="D61" s="5"/>
      <c r="E61" s="4"/>
      <c r="F61" s="4"/>
      <c r="G61" s="4" t="s">
        <v>169</v>
      </c>
      <c r="H61" s="5" t="s">
        <v>171</v>
      </c>
      <c r="I61" s="5" t="str">
        <f aca="false">_xlfn.CONCAT(H61, G61)</f>
        <v>http://www.w3.org/ns/ssn/System</v>
      </c>
      <c r="J61" s="4" t="str">
        <f aca="false">_xlfn.CONCAT("https://github.com/gryvity/miafpe/tree/master/ontology/miappexsosa.owl#", G61)</f>
        <v>https://github.com/gryvity/miafpe/tree/master/ontology/miappexsosa.owl#System</v>
      </c>
      <c r="K61" s="4" t="s">
        <v>172</v>
      </c>
    </row>
    <row r="62" customFormat="false" ht="35.05" hidden="false" customHeight="false" outlineLevel="0" collapsed="false">
      <c r="A62" s="7"/>
      <c r="B62" s="10" t="s">
        <v>17</v>
      </c>
      <c r="C62" s="35" t="s">
        <v>84</v>
      </c>
      <c r="D62" s="35"/>
      <c r="G62" s="13" t="s">
        <v>18</v>
      </c>
      <c r="H62" s="1" t="s">
        <v>14</v>
      </c>
      <c r="I62" s="1" t="str">
        <f aca="false">_xlfn.CONCAT(H62, G62)</f>
        <v>http://purl.org/ppeo/ppeo.owl#hasIdentifier</v>
      </c>
      <c r="J62" s="1" t="str">
        <f aca="false">_xlfn.CONCAT("https://github.com/gryvity/miafpe/tree/master/ontology/miappexsosa.owl#", G62)</f>
        <v>https://github.com/gryvity/miafpe/tree/master/ontology/miappexsosa.owl#hasIdentifier</v>
      </c>
    </row>
    <row r="63" customFormat="false" ht="35.05" hidden="false" customHeight="false" outlineLevel="0" collapsed="false">
      <c r="A63" s="7"/>
      <c r="B63" s="10" t="s">
        <v>173</v>
      </c>
      <c r="C63" s="35"/>
      <c r="D63" s="35"/>
      <c r="G63" s="13" t="s">
        <v>22</v>
      </c>
      <c r="H63" s="1" t="s">
        <v>14</v>
      </c>
      <c r="I63" s="1" t="str">
        <f aca="false">_xlfn.CONCAT(H63, G63)</f>
        <v>http://purl.org/ppeo/ppeo.owl#hasName</v>
      </c>
      <c r="J63" s="1" t="str">
        <f aca="false">_xlfn.CONCAT("https://github.com/gryvity/miafpe/tree/master/ontology/miappexsosa.owl#", G63)</f>
        <v>https://github.com/gryvity/miafpe/tree/master/ontology/miappexsosa.owl#hasName</v>
      </c>
    </row>
    <row r="64" customFormat="false" ht="35.05" hidden="false" customHeight="false" outlineLevel="0" collapsed="false">
      <c r="A64" s="7"/>
      <c r="B64" s="10" t="s">
        <v>174</v>
      </c>
      <c r="C64" s="35"/>
      <c r="D64" s="35"/>
      <c r="G64" s="13" t="s">
        <v>26</v>
      </c>
      <c r="H64" s="1" t="s">
        <v>14</v>
      </c>
      <c r="I64" s="1" t="str">
        <f aca="false">_xlfn.CONCAT(H64, G64)</f>
        <v>http://purl.org/ppeo/ppeo.owl#hasDescription</v>
      </c>
      <c r="J64" s="1" t="str">
        <f aca="false">_xlfn.CONCAT("https://github.com/gryvity/miafpe/tree/master/ontology/miappexsosa.owl#", G64)</f>
        <v>https://github.com/gryvity/miafpe/tree/master/ontology/miappexsosa.owl#hasDescription</v>
      </c>
    </row>
    <row r="65" customFormat="false" ht="35.05" hidden="false" customHeight="false" outlineLevel="0" collapsed="false">
      <c r="A65" s="7"/>
      <c r="B65" s="10" t="s">
        <v>175</v>
      </c>
      <c r="C65" s="35" t="s">
        <v>176</v>
      </c>
      <c r="D65" s="35"/>
      <c r="G65" s="35" t="s">
        <v>177</v>
      </c>
      <c r="J65" s="1" t="str">
        <f aca="false">_xlfn.CONCAT("https://github.com/gryvity/miafpe/tree/master/ontology/miappexsosa.owl#", G65)</f>
        <v>https://github.com/gryvity/miafpe/tree/master/ontology/miappexsosa.owl#isSystemType</v>
      </c>
    </row>
    <row r="66" customFormat="false" ht="35.05" hidden="false" customHeight="false" outlineLevel="0" collapsed="false">
      <c r="A66" s="7"/>
      <c r="B66" s="10" t="s">
        <v>178</v>
      </c>
      <c r="C66" s="35"/>
      <c r="D66" s="35"/>
      <c r="E66" s="1" t="s">
        <v>169</v>
      </c>
      <c r="G66" s="13" t="s">
        <v>179</v>
      </c>
      <c r="H66" s="1" t="s">
        <v>171</v>
      </c>
      <c r="I66" s="1" t="str">
        <f aca="false">_xlfn.CONCAT(H66, G66)</f>
        <v>http://www.w3.org/ns/ssn/hasSubsystem</v>
      </c>
      <c r="J66" s="1" t="str">
        <f aca="false">_xlfn.CONCAT("https://github.com/gryvity/miafpe/tree/master/ontology/miappexsosa.owl#", G66)</f>
        <v>https://github.com/gryvity/miafpe/tree/master/ontology/miappexsosa.owl#hasSubsystem</v>
      </c>
    </row>
    <row r="67" customFormat="false" ht="35.05" hidden="false" customHeight="false" outlineLevel="0" collapsed="false">
      <c r="A67" s="7"/>
      <c r="B67" s="10" t="s">
        <v>180</v>
      </c>
      <c r="C67" s="35"/>
      <c r="D67" s="35"/>
      <c r="E67" s="1" t="s">
        <v>180</v>
      </c>
      <c r="G67" s="13" t="s">
        <v>181</v>
      </c>
      <c r="H67" s="1" t="s">
        <v>182</v>
      </c>
      <c r="I67" s="1" t="str">
        <f aca="false">_xlfn.CONCAT(H67, G67)</f>
        <v>http://www.w3.org/ns/sosa/isHostedBy</v>
      </c>
      <c r="J67" s="1" t="str">
        <f aca="false">_xlfn.CONCAT("https://github.com/gryvity/miafpe/tree/master/ontology/miappexsosa.owl#", G67)</f>
        <v>https://github.com/gryvity/miafpe/tree/master/ontology/miappexsosa.owl#isHostedBy</v>
      </c>
    </row>
    <row r="68" customFormat="false" ht="35.05" hidden="false" customHeight="false" outlineLevel="0" collapsed="false">
      <c r="A68" s="7"/>
      <c r="B68" s="10" t="s">
        <v>183</v>
      </c>
      <c r="C68" s="35" t="s">
        <v>184</v>
      </c>
      <c r="D68" s="35"/>
      <c r="E68" s="1" t="s">
        <v>185</v>
      </c>
      <c r="G68" s="35" t="s">
        <v>186</v>
      </c>
      <c r="H68" s="35" t="s">
        <v>182</v>
      </c>
      <c r="I68" s="1" t="str">
        <f aca="false">_xlfn.CONCAT(H68, G68)</f>
        <v>http://www.w3.org/ns/sosa/hosts</v>
      </c>
      <c r="J68" s="1" t="str">
        <f aca="false">_xlfn.CONCAT("https://github.com/gryvity/miafpe/tree/master/ontology/miappexsosa.owl#", G68)</f>
        <v>https://github.com/gryvity/miafpe/tree/master/ontology/miappexsosa.owl#hosts</v>
      </c>
    </row>
    <row r="69" customFormat="false" ht="35.05" hidden="false" customHeight="false" outlineLevel="0" collapsed="false">
      <c r="A69" s="7"/>
      <c r="B69" s="10" t="s">
        <v>74</v>
      </c>
      <c r="C69" s="35"/>
      <c r="D69" s="35"/>
      <c r="E69" s="1" t="s">
        <v>74</v>
      </c>
      <c r="G69" s="13" t="s">
        <v>76</v>
      </c>
      <c r="H69" s="1" t="s">
        <v>171</v>
      </c>
      <c r="I69" s="1" t="str">
        <f aca="false">_xlfn.CONCAT(H69, G69)</f>
        <v>http://www.w3.org/ns/ssn/hasLocation</v>
      </c>
      <c r="J69" s="1" t="str">
        <f aca="false">_xlfn.CONCAT("https://github.com/gryvity/miafpe/tree/master/ontology/miappexsosa.owl#", G69)</f>
        <v>https://github.com/gryvity/miafpe/tree/master/ontology/miappexsosa.owl#hasLocation</v>
      </c>
    </row>
    <row r="70" customFormat="false" ht="46" hidden="false" customHeight="false" outlineLevel="0" collapsed="false">
      <c r="A70" s="7"/>
      <c r="B70" s="10" t="s">
        <v>187</v>
      </c>
      <c r="C70" s="35" t="s">
        <v>188</v>
      </c>
      <c r="D70" s="35"/>
      <c r="E70" s="1" t="s">
        <v>189</v>
      </c>
      <c r="G70" s="35" t="s">
        <v>190</v>
      </c>
      <c r="I70" s="1" t="str">
        <f aca="false">_xlfn.CONCAT(H70, G70)</f>
        <v>hasImplementedInput</v>
      </c>
      <c r="J70" s="1" t="str">
        <f aca="false">_xlfn.CONCAT("https://github.com/gryvity/miafpe/tree/master/ontology/miappexsosa.owl#", G70)</f>
        <v>https://github.com/gryvity/miafpe/tree/master/ontology/miappexsosa.owl#hasImplementedInput</v>
      </c>
    </row>
    <row r="71" customFormat="false" ht="46" hidden="false" customHeight="false" outlineLevel="0" collapsed="false">
      <c r="A71" s="7"/>
      <c r="B71" s="10" t="s">
        <v>191</v>
      </c>
      <c r="C71" s="35" t="s">
        <v>192</v>
      </c>
      <c r="D71" s="35"/>
      <c r="E71" s="1" t="s">
        <v>189</v>
      </c>
      <c r="G71" s="35" t="s">
        <v>193</v>
      </c>
      <c r="I71" s="1" t="str">
        <f aca="false">_xlfn.CONCAT(H71, G71)</f>
        <v>hasImplementedOutput</v>
      </c>
      <c r="J71" s="1" t="str">
        <f aca="false">_xlfn.CONCAT("https://github.com/gryvity/miafpe/tree/master/ontology/miappexsosa.owl#", G71)</f>
        <v>https://github.com/gryvity/miafpe/tree/master/ontology/miappexsosa.owl#hasImplementedOutput</v>
      </c>
    </row>
    <row r="72" customFormat="false" ht="35.05" hidden="false" customHeight="false" outlineLevel="0" collapsed="false">
      <c r="A72" s="7"/>
      <c r="B72" s="10" t="s">
        <v>194</v>
      </c>
      <c r="E72" s="1" t="s">
        <v>195</v>
      </c>
      <c r="G72" s="1" t="s">
        <v>196</v>
      </c>
      <c r="J72" s="1" t="str">
        <f aca="false">_xlfn.CONCAT("https://github.com/gryvity/miafpe/tree/master/ontology/miappexsosa.owl#", G72)</f>
        <v>https://github.com/gryvity/miafpe/tree/master/ontology/miappexsosa.owl#inCondition</v>
      </c>
    </row>
    <row r="73" customFormat="false" ht="35.05" hidden="false" customHeight="false" outlineLevel="0" collapsed="false">
      <c r="A73" s="7"/>
      <c r="B73" s="10" t="s">
        <v>197</v>
      </c>
      <c r="C73" s="35" t="s">
        <v>198</v>
      </c>
      <c r="D73" s="35"/>
      <c r="E73" s="1" t="s">
        <v>199</v>
      </c>
      <c r="G73" s="35"/>
      <c r="J73" s="1" t="str">
        <f aca="false">_xlfn.CONCAT("https://github.com/gryvity/miafpe/tree/master/ontology/miappexsosa.owl#", G73)</f>
        <v>https://github.com/gryvity/miafpe/tree/master/ontology/miappexsosa.owl#</v>
      </c>
    </row>
    <row r="74" customFormat="false" ht="35.05" hidden="false" customHeight="false" outlineLevel="0" collapsed="false">
      <c r="A74" s="7"/>
      <c r="B74" s="10" t="s">
        <v>200</v>
      </c>
      <c r="J74" s="1" t="str">
        <f aca="false">_xlfn.CONCAT("https://github.com/gryvity/miafpe/tree/master/ontology/miappexsosa.owl#", G74)</f>
        <v>https://github.com/gryvity/miafpe/tree/master/ontology/miappexsosa.owl#</v>
      </c>
    </row>
    <row r="75" customFormat="false" ht="35.05" hidden="false" customHeight="false" outlineLevel="0" collapsed="false">
      <c r="A75" s="7"/>
      <c r="B75" s="10" t="s">
        <v>201</v>
      </c>
      <c r="J75" s="1" t="str">
        <f aca="false">_xlfn.CONCAT("https://github.com/gryvity/miafpe/tree/master/ontology/miappexsosa.owl#", G75)</f>
        <v>https://github.com/gryvity/miafpe/tree/master/ontology/miappexsosa.owl#</v>
      </c>
    </row>
    <row r="76" customFormat="false" ht="35.05" hidden="false" customHeight="false" outlineLevel="0" collapsed="false">
      <c r="A76" s="7"/>
      <c r="B76" s="10" t="s">
        <v>202</v>
      </c>
      <c r="J76" s="1" t="str">
        <f aca="false">_xlfn.CONCAT("https://github.com/gryvity/miafpe/tree/master/ontology/miappexsosa.owl#", G76)</f>
        <v>https://github.com/gryvity/miafpe/tree/master/ontology/miappexsosa.owl#</v>
      </c>
    </row>
    <row r="77" customFormat="false" ht="35.05" hidden="false" customHeight="false" outlineLevel="0" collapsed="false">
      <c r="A77" s="7"/>
      <c r="B77" s="10" t="s">
        <v>203</v>
      </c>
      <c r="J77" s="1" t="str">
        <f aca="false">_xlfn.CONCAT("https://github.com/gryvity/miafpe/tree/master/ontology/miappexsosa.owl#", G77)</f>
        <v>https://github.com/gryvity/miafpe/tree/master/ontology/miappexsosa.owl#</v>
      </c>
    </row>
    <row r="78" customFormat="false" ht="35.05" hidden="false" customHeight="false" outlineLevel="0" collapsed="false">
      <c r="A78" s="7"/>
      <c r="B78" s="10" t="s">
        <v>204</v>
      </c>
      <c r="J78" s="1" t="str">
        <f aca="false">_xlfn.CONCAT("https://github.com/gryvity/miafpe/tree/master/ontology/miappexsosa.owl#", G78)</f>
        <v>https://github.com/gryvity/miafpe/tree/master/ontology/miappexsosa.owl#</v>
      </c>
    </row>
    <row r="79" customFormat="false" ht="35.05" hidden="false" customHeight="false" outlineLevel="0" collapsed="false">
      <c r="A79" s="7"/>
      <c r="B79" s="10" t="s">
        <v>205</v>
      </c>
      <c r="J79" s="1" t="str">
        <f aca="false">_xlfn.CONCAT("https://github.com/gryvity/miafpe/tree/master/ontology/miappexsosa.owl#", G79)</f>
        <v>https://github.com/gryvity/miafpe/tree/master/ontology/miappexsosa.owl#</v>
      </c>
    </row>
    <row r="80" customFormat="false" ht="35.05" hidden="false" customHeight="false" outlineLevel="0" collapsed="false">
      <c r="A80" s="7"/>
      <c r="B80" s="10" t="s">
        <v>206</v>
      </c>
      <c r="J80" s="1" t="str">
        <f aca="false">_xlfn.CONCAT("https://github.com/gryvity/miafpe/tree/master/ontology/miappexsosa.owl#", G80)</f>
        <v>https://github.com/gryvity/miafpe/tree/master/ontology/miappexsosa.owl#</v>
      </c>
    </row>
    <row r="81" customFormat="false" ht="35.05" hidden="false" customHeight="false" outlineLevel="0" collapsed="false">
      <c r="A81" s="7"/>
      <c r="B81" s="10" t="s">
        <v>207</v>
      </c>
      <c r="J81" s="1" t="str">
        <f aca="false">_xlfn.CONCAT("https://github.com/gryvity/miafpe/tree/master/ontology/miappexsosa.owl#", G81)</f>
        <v>https://github.com/gryvity/miafpe/tree/master/ontology/miappexsosa.owl#</v>
      </c>
    </row>
    <row r="82" customFormat="false" ht="35.05" hidden="false" customHeight="false" outlineLevel="0" collapsed="false">
      <c r="A82" s="7"/>
      <c r="B82" s="10" t="s">
        <v>208</v>
      </c>
      <c r="J82" s="1" t="str">
        <f aca="false">_xlfn.CONCAT("https://github.com/gryvity/miafpe/tree/master/ontology/miappexsosa.owl#", G82)</f>
        <v>https://github.com/gryvity/miafpe/tree/master/ontology/miappexsosa.owl#</v>
      </c>
    </row>
    <row r="83" customFormat="false" ht="35.05" hidden="false" customHeight="false" outlineLevel="0" collapsed="false">
      <c r="A83" s="7"/>
      <c r="B83" s="10" t="s">
        <v>209</v>
      </c>
      <c r="J83" s="1" t="str">
        <f aca="false">_xlfn.CONCAT("https://github.com/gryvity/miafpe/tree/master/ontology/miappexsosa.owl#", G83)</f>
        <v>https://github.com/gryvity/miafpe/tree/master/ontology/miappexsosa.owl#</v>
      </c>
    </row>
    <row r="84" customFormat="false" ht="46.25" hidden="false" customHeight="false" outlineLevel="0" collapsed="false">
      <c r="A84" s="32" t="s">
        <v>180</v>
      </c>
      <c r="B84" s="21"/>
      <c r="C84" s="22" t="s">
        <v>210</v>
      </c>
      <c r="D84" s="22"/>
      <c r="E84" s="21"/>
      <c r="F84" s="21"/>
      <c r="G84" s="21" t="s">
        <v>180</v>
      </c>
      <c r="H84" s="22" t="s">
        <v>171</v>
      </c>
      <c r="I84" s="22" t="str">
        <f aca="false">_xlfn.CONCAT(H84, G84)</f>
        <v>http://www.w3.org/ns/ssn/Platform</v>
      </c>
      <c r="J84" s="21" t="str">
        <f aca="false">_xlfn.CONCAT("https://github.com/gryvity/miafpe/tree/master/ontology/miappexsosa.owl#", G84)</f>
        <v>https://github.com/gryvity/miafpe/tree/master/ontology/miappexsosa.owl#Platform</v>
      </c>
      <c r="K84" s="21"/>
    </row>
    <row r="85" customFormat="false" ht="35.05" hidden="false" customHeight="false" outlineLevel="0" collapsed="false">
      <c r="A85" s="23"/>
      <c r="B85" s="10" t="s">
        <v>211</v>
      </c>
      <c r="C85" s="11" t="s">
        <v>84</v>
      </c>
      <c r="G85" s="1" t="s">
        <v>18</v>
      </c>
      <c r="H85" s="1" t="s">
        <v>14</v>
      </c>
      <c r="I85" s="1" t="str">
        <f aca="false">_xlfn.CONCAT(H85, G85)</f>
        <v>http://purl.org/ppeo/ppeo.owl#hasIdentifier</v>
      </c>
      <c r="J85" s="1" t="str">
        <f aca="false">_xlfn.CONCAT("https://github.com/gryvity/miafpe/tree/master/ontology/miappexsosa.owl#", G85)</f>
        <v>https://github.com/gryvity/miafpe/tree/master/ontology/miappexsosa.owl#hasIdentifier</v>
      </c>
    </row>
    <row r="86" customFormat="false" ht="35.05" hidden="false" customHeight="false" outlineLevel="0" collapsed="false">
      <c r="A86" s="23"/>
      <c r="B86" s="10" t="s">
        <v>212</v>
      </c>
      <c r="G86" s="1" t="s">
        <v>22</v>
      </c>
      <c r="H86" s="1" t="s">
        <v>14</v>
      </c>
      <c r="I86" s="1" t="str">
        <f aca="false">_xlfn.CONCAT(H86, G86)</f>
        <v>http://purl.org/ppeo/ppeo.owl#hasName</v>
      </c>
      <c r="J86" s="1" t="str">
        <f aca="false">_xlfn.CONCAT("https://github.com/gryvity/miafpe/tree/master/ontology/miappexsosa.owl#", G86)</f>
        <v>https://github.com/gryvity/miafpe/tree/master/ontology/miappexsosa.owl#hasName</v>
      </c>
    </row>
    <row r="87" customFormat="false" ht="35.05" hidden="false" customHeight="false" outlineLevel="0" collapsed="false">
      <c r="A87" s="23"/>
      <c r="B87" s="10" t="s">
        <v>213</v>
      </c>
      <c r="G87" s="1" t="s">
        <v>26</v>
      </c>
      <c r="H87" s="1" t="s">
        <v>14</v>
      </c>
      <c r="I87" s="1" t="str">
        <f aca="false">_xlfn.CONCAT(H87, G87)</f>
        <v>http://purl.org/ppeo/ppeo.owl#hasDescription</v>
      </c>
      <c r="J87" s="1" t="str">
        <f aca="false">_xlfn.CONCAT("https://github.com/gryvity/miafpe/tree/master/ontology/miappexsosa.owl#", G87)</f>
        <v>https://github.com/gryvity/miafpe/tree/master/ontology/miappexsosa.owl#hasDescription</v>
      </c>
    </row>
    <row r="88" customFormat="false" ht="35.05" hidden="false" customHeight="false" outlineLevel="0" collapsed="false">
      <c r="A88" s="23"/>
      <c r="B88" s="10" t="s">
        <v>214</v>
      </c>
      <c r="G88" s="1" t="s">
        <v>215</v>
      </c>
      <c r="J88" s="1" t="str">
        <f aca="false">_xlfn.CONCAT("https://github.com/gryvity/miafpe/tree/master/ontology/miappexsosa.owl#", G88)</f>
        <v>https://github.com/gryvity/miafpe/tree/master/ontology/miappexsosa.owl#isPlatformType</v>
      </c>
    </row>
    <row r="89" customFormat="false" ht="35.05" hidden="false" customHeight="false" outlineLevel="0" collapsed="false">
      <c r="A89" s="23"/>
      <c r="B89" s="10" t="s">
        <v>216</v>
      </c>
      <c r="G89" s="1" t="s">
        <v>217</v>
      </c>
      <c r="J89" s="1" t="str">
        <f aca="false">_xlfn.CONCAT("https://github.com/gryvity/miafpe/tree/master/ontology/miappexsosa.owl#", G89)</f>
        <v>https://github.com/gryvity/miafpe/tree/master/ontology/miappexsosa.owl#hasModel</v>
      </c>
    </row>
    <row r="90" customFormat="false" ht="35.05" hidden="false" customHeight="false" outlineLevel="0" collapsed="false">
      <c r="A90" s="23"/>
      <c r="B90" s="10" t="s">
        <v>218</v>
      </c>
      <c r="G90" s="1" t="s">
        <v>39</v>
      </c>
      <c r="H90" s="1" t="s">
        <v>14</v>
      </c>
      <c r="I90" s="1" t="str">
        <f aca="false">_xlfn.CONCAT(H90, G90)</f>
        <v>http://purl.org/ppeo/ppeo.owl#hasVersion</v>
      </c>
      <c r="J90" s="1" t="str">
        <f aca="false">_xlfn.CONCAT("https://github.com/gryvity/miafpe/tree/master/ontology/miappexsosa.owl#", G90)</f>
        <v>https://github.com/gryvity/miafpe/tree/master/ontology/miappexsosa.owl#hasVersion</v>
      </c>
    </row>
    <row r="91" customFormat="false" ht="35.05" hidden="false" customHeight="false" outlineLevel="0" collapsed="false">
      <c r="A91" s="23"/>
      <c r="B91" s="10" t="s">
        <v>219</v>
      </c>
      <c r="G91" s="1" t="s">
        <v>52</v>
      </c>
      <c r="J91" s="1" t="str">
        <f aca="false">_xlfn.CONCAT("https://github.com/gryvity/miafpe/tree/master/ontology/miappexsosa.owl#", G91)</f>
        <v>https://github.com/gryvity/miafpe/tree/master/ontology/miappexsosa.owl#hasDataFile</v>
      </c>
    </row>
    <row r="92" customFormat="false" ht="79.85" hidden="false" customHeight="false" outlineLevel="0" collapsed="false">
      <c r="A92" s="25" t="s">
        <v>183</v>
      </c>
      <c r="B92" s="4"/>
      <c r="C92" s="5" t="s">
        <v>220</v>
      </c>
      <c r="D92" s="5"/>
      <c r="E92" s="4"/>
      <c r="F92" s="4"/>
      <c r="G92" s="4" t="s">
        <v>183</v>
      </c>
      <c r="H92" s="5" t="s">
        <v>182</v>
      </c>
      <c r="I92" s="5" t="str">
        <f aca="false">_xlfn.CONCAT(H92, G92)</f>
        <v>http://www.w3.org/ns/sosa/Sensor</v>
      </c>
      <c r="J92" s="4" t="str">
        <f aca="false">_xlfn.CONCAT("https://github.com/gryvity/miafpe/tree/master/ontology/miappexsosa.owl#", G92)</f>
        <v>https://github.com/gryvity/miafpe/tree/master/ontology/miappexsosa.owl#Sensor</v>
      </c>
      <c r="K92" s="4"/>
    </row>
    <row r="93" customFormat="false" ht="35.05" hidden="false" customHeight="false" outlineLevel="0" collapsed="false">
      <c r="A93" s="7"/>
      <c r="B93" s="10" t="s">
        <v>221</v>
      </c>
      <c r="C93" s="11" t="s">
        <v>84</v>
      </c>
      <c r="G93" s="1" t="s">
        <v>18</v>
      </c>
      <c r="H93" s="1" t="s">
        <v>14</v>
      </c>
      <c r="I93" s="1" t="str">
        <f aca="false">_xlfn.CONCAT(H93, G93)</f>
        <v>http://purl.org/ppeo/ppeo.owl#hasIdentifier</v>
      </c>
      <c r="J93" s="1" t="str">
        <f aca="false">_xlfn.CONCAT("https://github.com/gryvity/miafpe/tree/master/ontology/miappexsosa.owl#", G93)</f>
        <v>https://github.com/gryvity/miafpe/tree/master/ontology/miappexsosa.owl#hasIdentifier</v>
      </c>
    </row>
    <row r="94" customFormat="false" ht="35.05" hidden="false" customHeight="false" outlineLevel="0" collapsed="false">
      <c r="A94" s="7"/>
      <c r="B94" s="10" t="s">
        <v>222</v>
      </c>
      <c r="G94" s="1" t="s">
        <v>22</v>
      </c>
      <c r="H94" s="1" t="s">
        <v>14</v>
      </c>
      <c r="I94" s="1" t="str">
        <f aca="false">_xlfn.CONCAT(H94, G94)</f>
        <v>http://purl.org/ppeo/ppeo.owl#hasName</v>
      </c>
      <c r="J94" s="1" t="str">
        <f aca="false">_xlfn.CONCAT("https://github.com/gryvity/miafpe/tree/master/ontology/miappexsosa.owl#", G94)</f>
        <v>https://github.com/gryvity/miafpe/tree/master/ontology/miappexsosa.owl#hasName</v>
      </c>
    </row>
    <row r="95" customFormat="false" ht="35.05" hidden="false" customHeight="false" outlineLevel="0" collapsed="false">
      <c r="A95" s="7"/>
      <c r="B95" s="10" t="s">
        <v>223</v>
      </c>
      <c r="G95" s="1" t="s">
        <v>26</v>
      </c>
      <c r="H95" s="1" t="s">
        <v>14</v>
      </c>
      <c r="I95" s="1" t="str">
        <f aca="false">_xlfn.CONCAT(H95, G95)</f>
        <v>http://purl.org/ppeo/ppeo.owl#hasDescription</v>
      </c>
      <c r="J95" s="1" t="str">
        <f aca="false">_xlfn.CONCAT("https://github.com/gryvity/miafpe/tree/master/ontology/miappexsosa.owl#", G95)</f>
        <v>https://github.com/gryvity/miafpe/tree/master/ontology/miappexsosa.owl#hasDescription</v>
      </c>
    </row>
    <row r="96" customFormat="false" ht="35.05" hidden="false" customHeight="false" outlineLevel="0" collapsed="false">
      <c r="A96" s="7"/>
      <c r="B96" s="10" t="s">
        <v>224</v>
      </c>
      <c r="G96" s="1" t="s">
        <v>225</v>
      </c>
      <c r="J96" s="1" t="str">
        <f aca="false">_xlfn.CONCAT("https://github.com/gryvity/miafpe/tree/master/ontology/miappexsosa.owl#", G96)</f>
        <v>https://github.com/gryvity/miafpe/tree/master/ontology/miappexsosa.owl#isSensorType</v>
      </c>
    </row>
    <row r="97" customFormat="false" ht="35.05" hidden="false" customHeight="false" outlineLevel="0" collapsed="false">
      <c r="A97" s="7"/>
      <c r="B97" s="10" t="s">
        <v>216</v>
      </c>
      <c r="G97" s="1" t="s">
        <v>217</v>
      </c>
      <c r="J97" s="1" t="str">
        <f aca="false">_xlfn.CONCAT("https://github.com/gryvity/miafpe/tree/master/ontology/miappexsosa.owl#", G97)</f>
        <v>https://github.com/gryvity/miafpe/tree/master/ontology/miappexsosa.owl#hasModel</v>
      </c>
    </row>
    <row r="98" customFormat="false" ht="35.05" hidden="false" customHeight="false" outlineLevel="0" collapsed="false">
      <c r="A98" s="7"/>
      <c r="B98" s="10" t="s">
        <v>218</v>
      </c>
      <c r="G98" s="1" t="s">
        <v>39</v>
      </c>
      <c r="H98" s="1" t="s">
        <v>14</v>
      </c>
      <c r="I98" s="1" t="str">
        <f aca="false">_xlfn.CONCAT(H98, G98)</f>
        <v>http://purl.org/ppeo/ppeo.owl#hasVersion</v>
      </c>
      <c r="J98" s="1" t="str">
        <f aca="false">_xlfn.CONCAT("https://github.com/gryvity/miafpe/tree/master/ontology/miappexsosa.owl#", G98)</f>
        <v>https://github.com/gryvity/miafpe/tree/master/ontology/miappexsosa.owl#hasVersion</v>
      </c>
    </row>
    <row r="99" customFormat="false" ht="35.05" hidden="false" customHeight="false" outlineLevel="0" collapsed="false">
      <c r="A99" s="7"/>
      <c r="B99" s="10" t="s">
        <v>226</v>
      </c>
      <c r="G99" s="1" t="s">
        <v>227</v>
      </c>
      <c r="H99" s="1" t="s">
        <v>182</v>
      </c>
      <c r="I99" s="1" t="str">
        <f aca="false">_xlfn.CONCAT(H99, G99)</f>
        <v>http://www.w3.org/ns/sosa/observes</v>
      </c>
      <c r="J99" s="1" t="str">
        <f aca="false">_xlfn.CONCAT("https://github.com/gryvity/miafpe/tree/master/ontology/miappexsosa.owl#", G99)</f>
        <v>https://github.com/gryvity/miafpe/tree/master/ontology/miappexsosa.owl#observes</v>
      </c>
    </row>
    <row r="100" customFormat="false" ht="35.05" hidden="false" customHeight="false" outlineLevel="0" collapsed="false">
      <c r="A100" s="7"/>
      <c r="B100" s="10" t="s">
        <v>219</v>
      </c>
      <c r="G100" s="1" t="s">
        <v>52</v>
      </c>
      <c r="J100" s="1" t="str">
        <f aca="false">_xlfn.CONCAT("https://github.com/gryvity/miafpe/tree/master/ontology/miappexsosa.owl#", G100)</f>
        <v>https://github.com/gryvity/miafpe/tree/master/ontology/miappexsosa.owl#hasDataFile</v>
      </c>
    </row>
    <row r="101" customFormat="false" ht="91" hidden="false" customHeight="false" outlineLevel="0" collapsed="false">
      <c r="A101" s="32" t="s">
        <v>226</v>
      </c>
      <c r="B101" s="21"/>
      <c r="C101" s="22" t="s">
        <v>228</v>
      </c>
      <c r="D101" s="22"/>
      <c r="E101" s="21"/>
      <c r="F101" s="21"/>
      <c r="G101" s="21" t="s">
        <v>229</v>
      </c>
      <c r="H101" s="22" t="s">
        <v>182</v>
      </c>
      <c r="I101" s="22" t="str">
        <f aca="false">_xlfn.CONCAT(H101, G101)</f>
        <v>http://www.w3.org/ns/sosa/Observation </v>
      </c>
      <c r="J101" s="21" t="str">
        <f aca="false">_xlfn.CONCAT("https://github.com/gryvity/miafpe/tree/master/ontology/miappexsosa.owl#", G101)</f>
        <v>https://github.com/gryvity/miafpe/tree/master/ontology/miappexsosa.owl#Observation </v>
      </c>
      <c r="K101" s="21" t="s">
        <v>172</v>
      </c>
    </row>
    <row r="102" customFormat="false" ht="35.05" hidden="false" customHeight="false" outlineLevel="0" collapsed="false">
      <c r="A102" s="23"/>
      <c r="B102" s="10" t="s">
        <v>17</v>
      </c>
      <c r="C102" s="11" t="s">
        <v>84</v>
      </c>
      <c r="G102" s="1" t="s">
        <v>18</v>
      </c>
      <c r="J102" s="1" t="str">
        <f aca="false">_xlfn.CONCAT("https://github.com/gryvity/miafpe/tree/master/ontology/miappexsosa.owl#", G102)</f>
        <v>https://github.com/gryvity/miafpe/tree/master/ontology/miappexsosa.owl#hasIdentifier</v>
      </c>
    </row>
    <row r="103" customFormat="false" ht="35.05" hidden="false" customHeight="false" outlineLevel="0" collapsed="false">
      <c r="A103" s="23"/>
      <c r="B103" s="10" t="s">
        <v>230</v>
      </c>
      <c r="G103" s="1" t="s">
        <v>231</v>
      </c>
      <c r="J103" s="1" t="str">
        <f aca="false">_xlfn.CONCAT("https://github.com/gryvity/miafpe/tree/master/ontology/miappexsosa.owl#", G103)</f>
        <v>https://github.com/gryvity/miafpe/tree/master/ontology/miappexsosa.owl#partOf </v>
      </c>
    </row>
    <row r="104" customFormat="false" ht="35.05" hidden="false" customHeight="false" outlineLevel="0" collapsed="false">
      <c r="A104" s="23"/>
      <c r="B104" s="10" t="s">
        <v>232</v>
      </c>
      <c r="C104" s="1" t="s">
        <v>233</v>
      </c>
      <c r="G104" s="1" t="s">
        <v>234</v>
      </c>
      <c r="H104" s="11" t="s">
        <v>182</v>
      </c>
      <c r="J104" s="1" t="str">
        <f aca="false">_xlfn.CONCAT("https://github.com/gryvity/miafpe/tree/master/ontology/miappexsosa.owl#", G104)</f>
        <v>https://github.com/gryvity/miafpe/tree/master/ontology/miappexsosa.owl#madeBySystem</v>
      </c>
    </row>
    <row r="105" customFormat="false" ht="46.25" hidden="false" customHeight="false" outlineLevel="0" collapsed="false">
      <c r="A105" s="23"/>
      <c r="B105" s="10" t="s">
        <v>235</v>
      </c>
      <c r="G105" s="1" t="s">
        <v>236</v>
      </c>
      <c r="H105" s="11" t="s">
        <v>182</v>
      </c>
      <c r="J105" s="1" t="str">
        <f aca="false">_xlfn.CONCAT("https://github.com/gryvity/miafpe/tree/master/ontology/miappexsosa.owl#", G105)</f>
        <v>https://github.com/gryvity/miafpe/tree/master/ontology/miappexsosa.owl#hasFeatureOfInterest</v>
      </c>
    </row>
    <row r="106" customFormat="false" ht="35.05" hidden="false" customHeight="false" outlineLevel="0" collapsed="false">
      <c r="A106" s="23"/>
      <c r="B106" s="10" t="s">
        <v>237</v>
      </c>
      <c r="C106" s="1" t="s">
        <v>238</v>
      </c>
      <c r="G106" s="1" t="s">
        <v>52</v>
      </c>
      <c r="J106" s="1" t="str">
        <f aca="false">_xlfn.CONCAT("https://github.com/gryvity/miafpe/tree/master/ontology/miappexsosa.owl#", G106)</f>
        <v>https://github.com/gryvity/miafpe/tree/master/ontology/miappexsosa.owl#hasDataFile</v>
      </c>
    </row>
    <row r="107" customFormat="false" ht="35.05" hidden="false" customHeight="false" outlineLevel="0" collapsed="false">
      <c r="A107" s="23"/>
      <c r="B107" s="10" t="s">
        <v>239</v>
      </c>
      <c r="G107" s="1" t="s">
        <v>240</v>
      </c>
      <c r="H107" s="11" t="s">
        <v>182</v>
      </c>
      <c r="J107" s="1" t="str">
        <f aca="false">_xlfn.CONCAT("https://github.com/gryvity/miafpe/tree/master/ontology/miappexsosa.owl#", G107)</f>
        <v>https://github.com/gryvity/miafpe/tree/master/ontology/miappexsosa.owl#observedProperty</v>
      </c>
    </row>
    <row r="108" customFormat="false" ht="46.25" hidden="false" customHeight="false" outlineLevel="0" collapsed="false">
      <c r="A108" s="25" t="s">
        <v>241</v>
      </c>
      <c r="B108" s="4"/>
      <c r="C108" s="5" t="s">
        <v>242</v>
      </c>
      <c r="D108" s="5"/>
      <c r="E108" s="4"/>
      <c r="F108" s="4"/>
      <c r="G108" s="4" t="s">
        <v>243</v>
      </c>
      <c r="H108" s="5" t="s">
        <v>14</v>
      </c>
      <c r="I108" s="5" t="str">
        <f aca="false">_xlfn.CONCAT(H108, "observation_unit")</f>
        <v>http://purl.org/ppeo/ppeo.owl#observation_unit</v>
      </c>
      <c r="J108" s="4" t="str">
        <f aca="false">_xlfn.CONCAT("https://github.com/gryvity/miafpe/tree/master/ontology/miappexsosa.owl#", G108)</f>
        <v>https://github.com/gryvity/miafpe/tree/master/ontology/miappexsosa.owl#ObservationUnit</v>
      </c>
      <c r="K108" s="4"/>
    </row>
    <row r="109" customFormat="false" ht="35.05" hidden="false" customHeight="false" outlineLevel="0" collapsed="false">
      <c r="A109" s="7"/>
      <c r="B109" s="10" t="s">
        <v>17</v>
      </c>
      <c r="C109" s="11" t="s">
        <v>84</v>
      </c>
      <c r="G109" s="1" t="s">
        <v>18</v>
      </c>
      <c r="H109" s="11" t="s">
        <v>14</v>
      </c>
      <c r="I109" s="1" t="str">
        <f aca="false">_xlfn.CONCAT(H109,G109)</f>
        <v>http://purl.org/ppeo/ppeo.owl#hasIdentifier</v>
      </c>
      <c r="J109" s="1" t="str">
        <f aca="false">_xlfn.CONCAT("https://github.com/gryvity/miafpe/tree/master/ontology/miappexsosa.owl#", G109)</f>
        <v>https://github.com/gryvity/miafpe/tree/master/ontology/miappexsosa.owl#hasIdentifier</v>
      </c>
    </row>
    <row r="110" customFormat="false" ht="35.05" hidden="false" customHeight="false" outlineLevel="0" collapsed="false">
      <c r="A110" s="7"/>
      <c r="B110" s="10" t="s">
        <v>226</v>
      </c>
      <c r="C110" s="1" t="s">
        <v>244</v>
      </c>
      <c r="F110" s="1" t="s">
        <v>51</v>
      </c>
      <c r="G110" s="1" t="s">
        <v>168</v>
      </c>
      <c r="H110" s="11" t="s">
        <v>14</v>
      </c>
      <c r="I110" s="1" t="str">
        <f aca="false">_xlfn.CONCAT(H110,G110)</f>
        <v>http://purl.org/ppeo/ppeo.owl#partOf</v>
      </c>
      <c r="J110" s="1" t="str">
        <f aca="false">_xlfn.CONCAT("https://github.com/gryvity/miafpe/tree/master/ontology/miappexsosa.owl#", G110)</f>
        <v>https://github.com/gryvity/miafpe/tree/master/ontology/miappexsosa.owl#partOf</v>
      </c>
    </row>
    <row r="111" customFormat="false" ht="35.05" hidden="false" customHeight="false" outlineLevel="0" collapsed="false">
      <c r="A111" s="7"/>
      <c r="B111" s="10" t="s">
        <v>230</v>
      </c>
      <c r="G111" s="1" t="s">
        <v>231</v>
      </c>
      <c r="J111" s="1" t="str">
        <f aca="false">_xlfn.CONCAT("https://github.com/gryvity/miafpe/tree/master/ontology/miappexsosa.owl#", G111)</f>
        <v>https://github.com/gryvity/miafpe/tree/master/ontology/miappexsosa.owl#partOf </v>
      </c>
    </row>
    <row r="112" customFormat="false" ht="35.05" hidden="false" customHeight="false" outlineLevel="0" collapsed="false">
      <c r="A112" s="7"/>
      <c r="B112" s="10" t="s">
        <v>245</v>
      </c>
      <c r="G112" s="1" t="s">
        <v>26</v>
      </c>
      <c r="H112" s="11" t="s">
        <v>14</v>
      </c>
      <c r="I112" s="1" t="str">
        <f aca="false">_xlfn.CONCAT(H112,G112)</f>
        <v>http://purl.org/ppeo/ppeo.owl#hasDescription</v>
      </c>
      <c r="J112" s="1" t="str">
        <f aca="false">_xlfn.CONCAT("https://github.com/gryvity/miafpe/tree/master/ontology/miappexsosa.owl#", G112)</f>
        <v>https://github.com/gryvity/miafpe/tree/master/ontology/miappexsosa.owl#hasDescription</v>
      </c>
    </row>
    <row r="113" customFormat="false" ht="46.25" hidden="false" customHeight="false" outlineLevel="0" collapsed="false">
      <c r="A113" s="7"/>
      <c r="B113" s="10" t="s">
        <v>246</v>
      </c>
      <c r="G113" s="1" t="s">
        <v>117</v>
      </c>
      <c r="H113" s="11" t="s">
        <v>14</v>
      </c>
      <c r="I113" s="1" t="str">
        <f aca="false">_xlfn.CONCAT(H113,G113)</f>
        <v>http://purl.org/ppeo/ppeo.owl#hasExternalIdentifier</v>
      </c>
      <c r="J113" s="1" t="str">
        <f aca="false">_xlfn.CONCAT("https://github.com/gryvity/miafpe/tree/master/ontology/miappexsosa.owl#", G113)</f>
        <v>https://github.com/gryvity/miafpe/tree/master/ontology/miappexsosa.owl#hasExternalIdentifier</v>
      </c>
    </row>
    <row r="114" customFormat="false" ht="46.25" hidden="false" customHeight="false" outlineLevel="0" collapsed="false">
      <c r="A114" s="7"/>
      <c r="B114" s="26" t="s">
        <v>247</v>
      </c>
      <c r="C114" s="27"/>
      <c r="D114" s="27"/>
      <c r="E114" s="27"/>
      <c r="F114" s="27"/>
      <c r="G114" s="27" t="s">
        <v>248</v>
      </c>
      <c r="H114" s="27" t="s">
        <v>14</v>
      </c>
      <c r="I114" s="1" t="str">
        <f aca="false">_xlfn.CONCAT(H114,G114)</f>
        <v>http://purl.org/ppeo/ppeo.owl#hasSpatialDistribution</v>
      </c>
      <c r="J114" s="27" t="str">
        <f aca="false">_xlfn.CONCAT("https://github.com/gryvity/miafpe/tree/master/ontology/miappexsosa.owl#", G114)</f>
        <v>https://github.com/gryvity/miafpe/tree/master/ontology/miappexsosa.owl#hasSpatialDistribution</v>
      </c>
      <c r="K114" s="27"/>
      <c r="L114" s="1" t="s">
        <v>249</v>
      </c>
    </row>
    <row r="115" customFormat="false" ht="46.25" hidden="false" customHeight="false" outlineLevel="0" collapsed="false">
      <c r="A115" s="7"/>
      <c r="B115" s="26" t="s">
        <v>250</v>
      </c>
      <c r="C115" s="27"/>
      <c r="D115" s="27"/>
      <c r="E115" s="27"/>
      <c r="F115" s="27"/>
      <c r="G115" s="27" t="s">
        <v>251</v>
      </c>
      <c r="H115" s="27" t="s">
        <v>14</v>
      </c>
      <c r="I115" s="1" t="str">
        <f aca="false">_xlfn.CONCAT(H115,G115)</f>
        <v>http://purl.org/ppeo/ppeo.owl#hasSpatialDistributionType</v>
      </c>
      <c r="J115" s="27" t="str">
        <f aca="false">_xlfn.CONCAT("https://github.com/gryvity/miafpe/tree/master/ontology/miappexsosa.owl#", G115)</f>
        <v>https://github.com/gryvity/miafpe/tree/master/ontology/miappexsosa.owl#hasSpatialDistributionType</v>
      </c>
      <c r="K115" s="27"/>
    </row>
    <row r="116" customFormat="false" ht="35.05" hidden="false" customHeight="false" outlineLevel="0" collapsed="false">
      <c r="A116" s="7"/>
      <c r="B116" s="10" t="s">
        <v>252</v>
      </c>
      <c r="G116" s="1" t="s">
        <v>164</v>
      </c>
      <c r="H116" s="11" t="s">
        <v>14</v>
      </c>
      <c r="I116" s="1" t="str">
        <f aca="false">_xlfn.CONCAT(H116,G116)</f>
        <v>http://purl.org/ppeo/ppeo.owl#hasType</v>
      </c>
      <c r="J116" s="1" t="str">
        <f aca="false">_xlfn.CONCAT("https://github.com/gryvity/miafpe/tree/master/ontology/miappexsosa.owl#", G116)</f>
        <v>https://github.com/gryvity/miafpe/tree/master/ontology/miappexsosa.owl#hasType</v>
      </c>
    </row>
    <row r="117" customFormat="false" ht="35.05" hidden="false" customHeight="false" outlineLevel="0" collapsed="false">
      <c r="A117" s="7"/>
      <c r="B117" s="10" t="s">
        <v>253</v>
      </c>
      <c r="H117" s="11" t="s">
        <v>14</v>
      </c>
      <c r="I117" s="1" t="str">
        <f aca="false">_xlfn.CONCAT(H117,G117)</f>
        <v>http://purl.org/ppeo/ppeo.owl#</v>
      </c>
      <c r="J117" s="1" t="str">
        <f aca="false">_xlfn.CONCAT("https://github.com/gryvity/miafpe/tree/master/ontology/miappexsosa.owl#", G117)</f>
        <v>https://github.com/gryvity/miafpe/tree/master/ontology/miappexsosa.owl#</v>
      </c>
    </row>
    <row r="118" customFormat="false" ht="79.85" hidden="false" customHeight="false" outlineLevel="0" collapsed="false">
      <c r="A118" s="32" t="s">
        <v>254</v>
      </c>
      <c r="B118" s="21"/>
      <c r="C118" s="22" t="s">
        <v>255</v>
      </c>
      <c r="D118" s="22"/>
      <c r="E118" s="21"/>
      <c r="F118" s="21"/>
      <c r="G118" s="21" t="s">
        <v>256</v>
      </c>
      <c r="H118" s="22" t="s">
        <v>14</v>
      </c>
      <c r="I118" s="22" t="str">
        <f aca="false">_xlfn.CONCAT(H118,"observed_variable")</f>
        <v>http://purl.org/ppeo/ppeo.owl#observed_variable</v>
      </c>
      <c r="J118" s="21" t="str">
        <f aca="false">_xlfn.CONCAT("https://github.com/gryvity/miafpe/tree/master/ontology/miappexsosa.owl#", G118)</f>
        <v>https://github.com/gryvity/miafpe/tree/master/ontology/miappexsosa.owl#ObservedVariable</v>
      </c>
      <c r="K118" s="21" t="s">
        <v>257</v>
      </c>
    </row>
    <row r="119" customFormat="false" ht="35.05" hidden="false" customHeight="false" outlineLevel="0" collapsed="false">
      <c r="A119" s="23"/>
      <c r="B119" s="10" t="s">
        <v>258</v>
      </c>
      <c r="C119" s="11" t="s">
        <v>84</v>
      </c>
      <c r="G119" s="1" t="s">
        <v>18</v>
      </c>
      <c r="H119" s="11" t="s">
        <v>14</v>
      </c>
      <c r="J119" s="1" t="str">
        <f aca="false">_xlfn.CONCAT("https://github.com/gryvity/miafpe/tree/master/ontology/miappexsosa.owl#", G119)</f>
        <v>https://github.com/gryvity/miafpe/tree/master/ontology/miappexsosa.owl#hasIdentifier</v>
      </c>
    </row>
    <row r="120" customFormat="false" ht="35.05" hidden="false" customHeight="false" outlineLevel="0" collapsed="false">
      <c r="A120" s="23"/>
      <c r="B120" s="10" t="s">
        <v>259</v>
      </c>
      <c r="H120" s="11" t="s">
        <v>14</v>
      </c>
      <c r="J120" s="1" t="str">
        <f aca="false">_xlfn.CONCAT("https://github.com/gryvity/miafpe/tree/master/ontology/miappexsosa.owl#", G120)</f>
        <v>https://github.com/gryvity/miafpe/tree/master/ontology/miappexsosa.owl#</v>
      </c>
    </row>
    <row r="121" customFormat="false" ht="35.05" hidden="false" customHeight="false" outlineLevel="0" collapsed="false">
      <c r="A121" s="23"/>
      <c r="B121" s="10" t="s">
        <v>260</v>
      </c>
      <c r="J121" s="1" t="str">
        <f aca="false">_xlfn.CONCAT("https://github.com/gryvity/miafpe/tree/master/ontology/miappexsosa.owl#", G121)</f>
        <v>https://github.com/gryvity/miafpe/tree/master/ontology/miappexsosa.owl#</v>
      </c>
    </row>
    <row r="122" customFormat="false" ht="35.05" hidden="false" customHeight="false" outlineLevel="0" collapsed="false">
      <c r="A122" s="23"/>
      <c r="B122" s="10" t="s">
        <v>261</v>
      </c>
      <c r="J122" s="1" t="str">
        <f aca="false">_xlfn.CONCAT("https://github.com/gryvity/miafpe/tree/master/ontology/miappexsosa.owl#", G122)</f>
        <v>https://github.com/gryvity/miafpe/tree/master/ontology/miappexsosa.owl#</v>
      </c>
    </row>
    <row r="123" customFormat="false" ht="12.8" hidden="false" customHeight="false" outlineLevel="0" collapsed="false">
      <c r="A123" s="23"/>
      <c r="B123" s="10" t="s">
        <v>262</v>
      </c>
    </row>
    <row r="124" customFormat="false" ht="12.8" hidden="false" customHeight="false" outlineLevel="0" collapsed="false">
      <c r="A124" s="23"/>
      <c r="B124" s="10" t="s">
        <v>263</v>
      </c>
    </row>
    <row r="125" customFormat="false" ht="12.8" hidden="false" customHeight="false" outlineLevel="0" collapsed="false">
      <c r="A125" s="23"/>
      <c r="B125" s="10"/>
    </row>
    <row r="126" customFormat="false" ht="35.05" hidden="false" customHeight="false" outlineLevel="0" collapsed="false">
      <c r="A126" s="23"/>
      <c r="B126" s="10"/>
      <c r="J126" s="1" t="str">
        <f aca="false">_xlfn.CONCAT("https://github.com/gryvity/miafpe/tree/master/ontology/miappexsosa.owl#", G126)</f>
        <v>https://github.com/gryvity/miafpe/tree/master/ontology/miappexsosa.owl#</v>
      </c>
    </row>
    <row r="127" customFormat="false" ht="79.85" hidden="false" customHeight="false" outlineLevel="0" collapsed="false">
      <c r="A127" s="25" t="s">
        <v>253</v>
      </c>
      <c r="B127" s="4"/>
      <c r="C127" s="5" t="s">
        <v>264</v>
      </c>
      <c r="D127" s="5"/>
      <c r="E127" s="4"/>
      <c r="F127" s="4"/>
      <c r="G127" s="4" t="s">
        <v>265</v>
      </c>
      <c r="H127" s="5" t="s">
        <v>14</v>
      </c>
      <c r="I127" s="5" t="str">
        <f aca="false">_xlfn.CONCAT(H127,LOWER(G127))</f>
        <v>http://purl.org/ppeo/ppeo.owl#factor</v>
      </c>
      <c r="J127" s="4" t="str">
        <f aca="false">_xlfn.CONCAT("https://github.com/gryvity/miafpe/tree/master/ontology/miappexsosa.owl#", G127)</f>
        <v>https://github.com/gryvity/miafpe/tree/master/ontology/miappexsosa.owl#Factor</v>
      </c>
      <c r="K127" s="4"/>
    </row>
    <row r="128" customFormat="false" ht="35.05" hidden="false" customHeight="false" outlineLevel="0" collapsed="false">
      <c r="A128" s="7"/>
      <c r="B128" s="10" t="s">
        <v>17</v>
      </c>
      <c r="C128" s="11" t="s">
        <v>84</v>
      </c>
      <c r="G128" s="1" t="s">
        <v>18</v>
      </c>
      <c r="H128" s="11" t="s">
        <v>14</v>
      </c>
      <c r="J128" s="1" t="str">
        <f aca="false">_xlfn.CONCAT("https://github.com/gryvity/miafpe/tree/master/ontology/miappexsosa.owl#", G128)</f>
        <v>https://github.com/gryvity/miafpe/tree/master/ontology/miappexsosa.owl#hasIdentifier</v>
      </c>
    </row>
    <row r="129" customFormat="false" ht="35.05" hidden="false" customHeight="false" outlineLevel="0" collapsed="false">
      <c r="A129" s="7"/>
      <c r="B129" s="10" t="s">
        <v>230</v>
      </c>
      <c r="G129" s="1" t="s">
        <v>231</v>
      </c>
      <c r="J129" s="1" t="str">
        <f aca="false">_xlfn.CONCAT("https://github.com/gryvity/miafpe/tree/master/ontology/miappexsosa.owl#", G129)</f>
        <v>https://github.com/gryvity/miafpe/tree/master/ontology/miappexsosa.owl#partOf </v>
      </c>
    </row>
    <row r="130" customFormat="false" ht="35.05" hidden="false" customHeight="false" outlineLevel="0" collapsed="false">
      <c r="A130" s="7"/>
      <c r="B130" s="10" t="s">
        <v>266</v>
      </c>
      <c r="J130" s="1" t="str">
        <f aca="false">_xlfn.CONCAT("https://github.com/gryvity/miafpe/tree/master/ontology/miappexsosa.owl#", G130)</f>
        <v>https://github.com/gryvity/miafpe/tree/master/ontology/miappexsosa.owl#</v>
      </c>
    </row>
    <row r="131" customFormat="false" ht="12.8" hidden="false" customHeight="false" outlineLevel="0" collapsed="false">
      <c r="A131" s="7"/>
      <c r="B131" s="10" t="s">
        <v>267</v>
      </c>
    </row>
    <row r="132" customFormat="false" ht="12.8" hidden="false" customHeight="false" outlineLevel="0" collapsed="false">
      <c r="A132" s="7"/>
      <c r="B132" s="10" t="s">
        <v>268</v>
      </c>
    </row>
    <row r="133" customFormat="false" ht="23.85" hidden="false" customHeight="false" outlineLevel="0" collapsed="false">
      <c r="A133" s="7"/>
      <c r="B133" s="10" t="s">
        <v>269</v>
      </c>
      <c r="C133" s="1" t="s">
        <v>270</v>
      </c>
    </row>
    <row r="134" customFormat="false" ht="79.85" hidden="false" customHeight="false" outlineLevel="0" collapsed="false">
      <c r="A134" s="32" t="s">
        <v>271</v>
      </c>
      <c r="B134" s="21"/>
      <c r="C134" s="22" t="s">
        <v>272</v>
      </c>
      <c r="D134" s="22"/>
      <c r="E134" s="21"/>
      <c r="F134" s="21"/>
      <c r="G134" s="21" t="s">
        <v>271</v>
      </c>
      <c r="H134" s="22" t="s">
        <v>14</v>
      </c>
      <c r="I134" s="22"/>
      <c r="J134" s="21" t="str">
        <f aca="false">_xlfn.CONCAT("https://github.com/gryvity/miafpe/tree/master/ontology/miappexsosa.owl#", G134)</f>
        <v>https://github.com/gryvity/miafpe/tree/master/ontology/miappexsosa.owl#Sample</v>
      </c>
      <c r="K134" s="21"/>
    </row>
    <row r="135" customFormat="false" ht="35.05" hidden="false" customHeight="false" outlineLevel="0" collapsed="false">
      <c r="A135" s="23"/>
      <c r="B135" s="10" t="s">
        <v>17</v>
      </c>
      <c r="C135" s="11" t="s">
        <v>84</v>
      </c>
      <c r="G135" s="1" t="s">
        <v>18</v>
      </c>
      <c r="H135" s="11" t="s">
        <v>14</v>
      </c>
      <c r="J135" s="1" t="str">
        <f aca="false">_xlfn.CONCAT("https://github.com/gryvity/miafpe/tree/master/ontology/miappexsosa.owl#", G135)</f>
        <v>https://github.com/gryvity/miafpe/tree/master/ontology/miappexsosa.owl#hasIdentifier</v>
      </c>
    </row>
    <row r="136" customFormat="false" ht="12.8" hidden="false" customHeight="false" outlineLevel="0" collapsed="false">
      <c r="A136" s="23"/>
      <c r="B136" s="10"/>
      <c r="C136" s="11"/>
    </row>
    <row r="137" customFormat="false" ht="35.05" hidden="false" customHeight="false" outlineLevel="0" collapsed="false">
      <c r="A137" s="23"/>
      <c r="B137" s="10"/>
      <c r="J137" s="1" t="str">
        <f aca="false">_xlfn.CONCAT("https://github.com/gryvity/miafpe/tree/master/ontology/miappexsosa.owl#", G137)</f>
        <v>https://github.com/gryvity/miafpe/tree/master/ontology/miappexsosa.owl#</v>
      </c>
    </row>
    <row r="138" customFormat="false" ht="46.25" hidden="false" customHeight="false" outlineLevel="0" collapsed="false">
      <c r="A138" s="25" t="s">
        <v>273</v>
      </c>
      <c r="B138" s="4"/>
      <c r="C138" s="5" t="s">
        <v>274</v>
      </c>
      <c r="D138" s="5"/>
      <c r="E138" s="4"/>
      <c r="F138" s="4"/>
      <c r="G138" s="4" t="s">
        <v>275</v>
      </c>
      <c r="H138" s="5" t="s">
        <v>14</v>
      </c>
      <c r="I138" s="5"/>
      <c r="J138" s="4" t="str">
        <f aca="false">_xlfn.CONCAT("https://github.com/gryvity/miafpe/tree/master/ontology/miappexsosa.owl#", G138)</f>
        <v>https://github.com/gryvity/miafpe/tree/master/ontology/miappexsosa.owl#BiologicalMaterial</v>
      </c>
      <c r="K138" s="4"/>
    </row>
    <row r="139" customFormat="false" ht="46.25" hidden="false" customHeight="false" outlineLevel="0" collapsed="false">
      <c r="A139" s="7"/>
      <c r="B139" s="10" t="s">
        <v>276</v>
      </c>
      <c r="C139" s="11" t="s">
        <v>277</v>
      </c>
      <c r="G139" s="1" t="s">
        <v>18</v>
      </c>
      <c r="H139" s="11" t="s">
        <v>14</v>
      </c>
      <c r="J139" s="1" t="str">
        <f aca="false">_xlfn.CONCAT("https://github.com/gryvity/miafpe/tree/master/ontology/miappexsosa.owl#", G139)</f>
        <v>https://github.com/gryvity/miafpe/tree/master/ontology/miappexsosa.owl#hasIdentifier</v>
      </c>
    </row>
    <row r="140" customFormat="false" ht="35.05" hidden="false" customHeight="false" outlineLevel="0" collapsed="false">
      <c r="A140" s="7"/>
      <c r="B140" s="10" t="s">
        <v>278</v>
      </c>
      <c r="C140" s="1" t="s">
        <v>279</v>
      </c>
      <c r="J140" s="1" t="str">
        <f aca="false">_xlfn.CONCAT("https://github.com/gryvity/miafpe/tree/master/ontology/miappexsosa.owl#", G140)</f>
        <v>https://github.com/gryvity/miafpe/tree/master/ontology/miappexsosa.owl#</v>
      </c>
    </row>
    <row r="141" customFormat="false" ht="23.85" hidden="false" customHeight="false" outlineLevel="0" collapsed="false">
      <c r="A141" s="7"/>
      <c r="B141" s="10" t="s">
        <v>280</v>
      </c>
      <c r="C141" s="1" t="s">
        <v>281</v>
      </c>
    </row>
    <row r="142" customFormat="false" ht="12.8" hidden="false" customHeight="false" outlineLevel="0" collapsed="false">
      <c r="A142" s="7"/>
      <c r="B142" s="10" t="s">
        <v>282</v>
      </c>
    </row>
    <row r="143" customFormat="false" ht="12.8" hidden="false" customHeight="false" outlineLevel="0" collapsed="false">
      <c r="A143" s="7"/>
      <c r="B143" s="10" t="s">
        <v>283</v>
      </c>
    </row>
    <row r="144" customFormat="false" ht="12.8" hidden="false" customHeight="false" outlineLevel="0" collapsed="false">
      <c r="A144" s="7"/>
      <c r="B144" s="10" t="s">
        <v>284</v>
      </c>
    </row>
    <row r="145" customFormat="false" ht="12.8" hidden="false" customHeight="false" outlineLevel="0" collapsed="false">
      <c r="A145" s="7"/>
      <c r="B145" s="10"/>
    </row>
    <row r="146" customFormat="false" ht="12.8" hidden="false" customHeight="false" outlineLevel="0" collapsed="false">
      <c r="A146" s="7"/>
      <c r="B146" s="10"/>
    </row>
    <row r="147" customFormat="false" ht="12.8" hidden="false" customHeight="false" outlineLevel="0" collapsed="false">
      <c r="A147" s="7"/>
      <c r="B147" s="10"/>
    </row>
    <row r="148" customFormat="false" ht="12.8" hidden="false" customHeight="false" outlineLevel="0" collapsed="false">
      <c r="A148" s="7"/>
      <c r="B148" s="10"/>
    </row>
    <row r="149" customFormat="false" ht="12.8" hidden="false" customHeight="false" outlineLevel="0" collapsed="false">
      <c r="A149" s="7"/>
      <c r="B149" s="10"/>
    </row>
    <row r="150" customFormat="false" ht="12.8" hidden="false" customHeight="false" outlineLevel="0" collapsed="false">
      <c r="A150" s="7"/>
      <c r="B150" s="10"/>
    </row>
    <row r="151" customFormat="false" ht="12.8" hidden="false" customHeight="false" outlineLevel="0" collapsed="false">
      <c r="A151" s="7"/>
      <c r="B151" s="10"/>
    </row>
    <row r="152" customFormat="false" ht="12.8" hidden="false" customHeight="false" outlineLevel="0" collapsed="false">
      <c r="A152" s="7"/>
      <c r="B152" s="10"/>
    </row>
    <row r="153" customFormat="false" ht="57.45" hidden="false" customHeight="false" outlineLevel="0" collapsed="false">
      <c r="A153" s="32" t="s">
        <v>285</v>
      </c>
      <c r="B153" s="21"/>
      <c r="C153" s="22" t="s">
        <v>286</v>
      </c>
      <c r="D153" s="22"/>
      <c r="E153" s="21"/>
      <c r="F153" s="21"/>
      <c r="G153" s="21" t="s">
        <v>285</v>
      </c>
      <c r="H153" s="22" t="s">
        <v>14</v>
      </c>
      <c r="I153" s="22"/>
      <c r="J153" s="21" t="str">
        <f aca="false">_xlfn.CONCAT("https://github.com/gryvity/miafpe/tree/master/ontology/miappexsosa.owl#", G153)</f>
        <v>https://github.com/gryvity/miafpe/tree/master/ontology/miappexsosa.owl#Event</v>
      </c>
      <c r="K153" s="21"/>
    </row>
    <row r="154" customFormat="false" ht="35.05" hidden="false" customHeight="false" outlineLevel="0" collapsed="false">
      <c r="A154" s="23"/>
      <c r="B154" s="10" t="s">
        <v>17</v>
      </c>
      <c r="C154" s="11" t="s">
        <v>84</v>
      </c>
      <c r="G154" s="1" t="s">
        <v>18</v>
      </c>
      <c r="H154" s="11" t="s">
        <v>14</v>
      </c>
      <c r="J154" s="1" t="str">
        <f aca="false">_xlfn.CONCAT("https://github.com/gryvity/miafpe/tree/master/ontology/miappexsosa.owl#", G154)</f>
        <v>https://github.com/gryvity/miafpe/tree/master/ontology/miappexsosa.owl#hasIdentifier</v>
      </c>
    </row>
    <row r="155" customFormat="false" ht="35.05" hidden="false" customHeight="false" outlineLevel="0" collapsed="false">
      <c r="A155" s="23"/>
      <c r="B155" s="10"/>
      <c r="J155" s="1" t="str">
        <f aca="false">_xlfn.CONCAT("https://github.com/gryvity/miafpe/tree/master/ontology/miappexsosa.owl#", G155)</f>
        <v>https://github.com/gryvity/miafpe/tree/master/ontology/miappexsosa.owl#</v>
      </c>
    </row>
    <row r="156" customFormat="false" ht="35.05" hidden="false" customHeight="false" outlineLevel="0" collapsed="false">
      <c r="A156" s="23"/>
      <c r="B156" s="10"/>
      <c r="J156" s="1" t="str">
        <f aca="false">_xlfn.CONCAT("https://github.com/gryvity/miafpe/tree/master/ontology/miappexsosa.owl#", G156)</f>
        <v>https://github.com/gryvity/miafpe/tree/master/ontology/miappexsosa.owl#</v>
      </c>
    </row>
    <row r="157" customFormat="false" ht="35.05" hidden="false" customHeight="false" outlineLevel="0" collapsed="false">
      <c r="A157" s="23"/>
      <c r="B157" s="10"/>
      <c r="J157" s="1" t="str">
        <f aca="false">_xlfn.CONCAT("https://github.com/gryvity/miafpe/tree/master/ontology/miappexsosa.owl#", G157)</f>
        <v>https://github.com/gryvity/miafpe/tree/master/ontology/miappexsosa.owl#</v>
      </c>
    </row>
    <row r="158" customFormat="false" ht="46.25" hidden="false" customHeight="false" outlineLevel="0" collapsed="false">
      <c r="A158" s="25" t="s">
        <v>287</v>
      </c>
      <c r="B158" s="4"/>
      <c r="C158" s="5" t="s">
        <v>288</v>
      </c>
      <c r="D158" s="5"/>
      <c r="E158" s="4"/>
      <c r="F158" s="4"/>
      <c r="G158" s="4"/>
      <c r="H158" s="5" t="s">
        <v>14</v>
      </c>
      <c r="I158" s="5"/>
      <c r="J158" s="4" t="str">
        <f aca="false">_xlfn.CONCAT("https://github.com/gryvity/miafpe/tree/master/ontology/miappexsosa.owl#", G158)</f>
        <v>https://github.com/gryvity/miafpe/tree/master/ontology/miappexsosa.owl#</v>
      </c>
      <c r="K158" s="4"/>
    </row>
    <row r="159" customFormat="false" ht="35.05" hidden="false" customHeight="false" outlineLevel="0" collapsed="false">
      <c r="A159" s="7"/>
      <c r="B159" s="10" t="s">
        <v>17</v>
      </c>
      <c r="C159" s="11" t="s">
        <v>84</v>
      </c>
      <c r="G159" s="1" t="s">
        <v>18</v>
      </c>
      <c r="H159" s="11" t="s">
        <v>14</v>
      </c>
      <c r="J159" s="1" t="str">
        <f aca="false">_xlfn.CONCAT("https://github.com/gryvity/miafpe/tree/master/ontology/miappexsosa.owl#", G159)</f>
        <v>https://github.com/gryvity/miafpe/tree/master/ontology/miappexsosa.owl#hasIdentifier</v>
      </c>
    </row>
    <row r="160" customFormat="false" ht="23.85" hidden="false" customHeight="false" outlineLevel="0" collapsed="false">
      <c r="A160" s="7"/>
      <c r="B160" s="10" t="s">
        <v>53</v>
      </c>
      <c r="C160" s="11" t="s">
        <v>289</v>
      </c>
      <c r="E160" s="1" t="s">
        <v>290</v>
      </c>
      <c r="G160" s="1" t="s">
        <v>168</v>
      </c>
      <c r="H160" s="11" t="s">
        <v>14</v>
      </c>
      <c r="K160" s="1" t="s">
        <v>291</v>
      </c>
    </row>
    <row r="161" customFormat="false" ht="46.25" hidden="false" customHeight="false" outlineLevel="0" collapsed="false">
      <c r="A161" s="7"/>
      <c r="B161" s="10" t="s">
        <v>292</v>
      </c>
      <c r="C161" s="1" t="s">
        <v>293</v>
      </c>
      <c r="E161" s="1" t="s">
        <v>21</v>
      </c>
      <c r="G161" s="1" t="s">
        <v>294</v>
      </c>
      <c r="H161" s="11" t="s">
        <v>14</v>
      </c>
      <c r="J161" s="1" t="str">
        <f aca="false">_xlfn.CONCAT("https://github.com/gryvity/miafpe/tree/master/ontology/miappexsosa.owl#", G161)</f>
        <v>https://github.com/gryvity/miafpe/tree/master/ontology/miappexsosa.owl#hasEnvironmentParameter</v>
      </c>
    </row>
    <row r="162" customFormat="false" ht="23.85" hidden="false" customHeight="false" outlineLevel="0" collapsed="false">
      <c r="A162" s="7"/>
      <c r="B162" s="10" t="s">
        <v>295</v>
      </c>
      <c r="C162" s="1" t="s">
        <v>296</v>
      </c>
      <c r="E162" s="1" t="s">
        <v>21</v>
      </c>
      <c r="G162" s="1" t="s">
        <v>297</v>
      </c>
      <c r="H162" s="11" t="s">
        <v>14</v>
      </c>
    </row>
    <row r="163" customFormat="false" ht="23.85" hidden="false" customHeight="false" outlineLevel="0" collapsed="false">
      <c r="A163" s="7"/>
      <c r="B163" s="10" t="s">
        <v>269</v>
      </c>
      <c r="C163" s="1" t="s">
        <v>270</v>
      </c>
      <c r="E163" s="1" t="s">
        <v>152</v>
      </c>
      <c r="F163" s="1" t="s">
        <v>51</v>
      </c>
      <c r="G163" s="1" t="s">
        <v>52</v>
      </c>
      <c r="H163" s="1" t="s">
        <v>14</v>
      </c>
    </row>
    <row r="164" customFormat="false" ht="35.95" hidden="false" customHeight="false" outlineLevel="0" collapsed="false">
      <c r="A164" s="32" t="s">
        <v>298</v>
      </c>
      <c r="B164" s="21"/>
      <c r="C164" s="22" t="s">
        <v>299</v>
      </c>
      <c r="D164" s="22"/>
      <c r="E164" s="21"/>
      <c r="F164" s="21" t="s">
        <v>55</v>
      </c>
      <c r="G164" s="21" t="s">
        <v>298</v>
      </c>
      <c r="H164" s="22" t="s">
        <v>14</v>
      </c>
      <c r="I164" s="22"/>
      <c r="J164" s="21" t="str">
        <f aca="false">_xlfn.CONCAT("https://github.com/gryvity/miafpe/tree/master/ontology/miappexsosa.owl#", G164)</f>
        <v>https://github.com/gryvity/miafpe/tree/master/ontology/miappexsosa.owl#Person</v>
      </c>
      <c r="K164" s="21"/>
    </row>
    <row r="165" s="30" customFormat="true" ht="35.05" hidden="false" customHeight="false" outlineLevel="0" collapsed="false">
      <c r="A165" s="23"/>
      <c r="B165" s="10" t="s">
        <v>17</v>
      </c>
      <c r="C165" s="1" t="s">
        <v>84</v>
      </c>
      <c r="E165" s="30" t="s">
        <v>17</v>
      </c>
      <c r="F165" s="30" t="s">
        <v>13</v>
      </c>
      <c r="G165" s="30" t="s">
        <v>18</v>
      </c>
      <c r="H165" s="36" t="s">
        <v>14</v>
      </c>
      <c r="J165" s="1" t="str">
        <f aca="false">_xlfn.CONCAT("https://github.com/gryvity/miafpe/tree/master/ontology/miappexsosa.owl#", G165)</f>
        <v>https://github.com/gryvity/miafpe/tree/master/ontology/miappexsosa.owl#hasIdentifier</v>
      </c>
    </row>
    <row r="166" s="30" customFormat="true" ht="35.05" hidden="false" customHeight="false" outlineLevel="0" collapsed="false">
      <c r="A166" s="23"/>
      <c r="B166" s="10" t="s">
        <v>300</v>
      </c>
      <c r="C166" s="1" t="s">
        <v>301</v>
      </c>
      <c r="E166" s="30" t="s">
        <v>21</v>
      </c>
      <c r="F166" s="30" t="s">
        <v>13</v>
      </c>
      <c r="G166" s="30" t="s">
        <v>22</v>
      </c>
      <c r="H166" s="36" t="s">
        <v>14</v>
      </c>
      <c r="J166" s="1" t="str">
        <f aca="false">_xlfn.CONCAT("https://github.com/gryvity/miafpe/tree/master/ontology/miappexsosa.owl#", G166)</f>
        <v>https://github.com/gryvity/miafpe/tree/master/ontology/miappexsosa.owl#hasName</v>
      </c>
    </row>
    <row r="167" s="30" customFormat="true" ht="35.05" hidden="false" customHeight="false" outlineLevel="0" collapsed="false">
      <c r="A167" s="23"/>
      <c r="B167" s="10" t="s">
        <v>302</v>
      </c>
      <c r="C167" s="1" t="s">
        <v>303</v>
      </c>
      <c r="E167" s="30" t="s">
        <v>17</v>
      </c>
      <c r="F167" s="30" t="s">
        <v>51</v>
      </c>
      <c r="G167" s="30" t="s">
        <v>304</v>
      </c>
      <c r="H167" s="36" t="s">
        <v>14</v>
      </c>
      <c r="J167" s="1" t="str">
        <f aca="false">_xlfn.CONCAT("https://github.com/gryvity/miafpe/tree/master/ontology/miappexsosa.owl#", G167)</f>
        <v>https://github.com/gryvity/miafpe/tree/master/ontology/miappexsosa.owl#hasORCID</v>
      </c>
    </row>
    <row r="168" customFormat="false" ht="35.05" hidden="false" customHeight="false" outlineLevel="0" collapsed="false">
      <c r="A168" s="23"/>
      <c r="B168" s="10" t="s">
        <v>305</v>
      </c>
      <c r="C168" s="1" t="s">
        <v>306</v>
      </c>
      <c r="D168" s="30"/>
      <c r="E168" s="1" t="s">
        <v>21</v>
      </c>
      <c r="F168" s="1" t="s">
        <v>51</v>
      </c>
      <c r="G168" s="1" t="s">
        <v>307</v>
      </c>
      <c r="H168" s="11" t="s">
        <v>14</v>
      </c>
      <c r="J168" s="1" t="str">
        <f aca="false">_xlfn.CONCAT("https://github.com/gryvity/miafpe/tree/master/ontology/miappexsosa.owl#", G168)</f>
        <v>https://github.com/gryvity/miafpe/tree/master/ontology/miappexsosa.owl#hasEmailContact</v>
      </c>
    </row>
    <row r="169" customFormat="false" ht="35.05" hidden="false" customHeight="false" outlineLevel="0" collapsed="false">
      <c r="A169" s="23"/>
      <c r="B169" s="10" t="s">
        <v>308</v>
      </c>
      <c r="C169" s="1" t="s">
        <v>309</v>
      </c>
      <c r="E169" s="24" t="s">
        <v>308</v>
      </c>
      <c r="F169" s="1" t="s">
        <v>51</v>
      </c>
      <c r="G169" s="1" t="s">
        <v>310</v>
      </c>
      <c r="H169" s="11" t="s">
        <v>14</v>
      </c>
      <c r="J169" s="1" t="str">
        <f aca="false">_xlfn.CONCAT("https://github.com/gryvity/miafpe/tree/master/ontology/miappexsosa.owl#", G169)</f>
        <v>https://github.com/gryvity/miafpe/tree/master/ontology/miappexsosa.owl#hasRole</v>
      </c>
    </row>
    <row r="170" customFormat="false" ht="35.05" hidden="false" customHeight="false" outlineLevel="0" collapsed="false">
      <c r="A170" s="23"/>
      <c r="B170" s="10" t="s">
        <v>311</v>
      </c>
      <c r="C170" s="1" t="s">
        <v>312</v>
      </c>
      <c r="E170" s="24" t="s">
        <v>72</v>
      </c>
      <c r="F170" s="1" t="s">
        <v>55</v>
      </c>
      <c r="G170" s="1" t="s">
        <v>313</v>
      </c>
      <c r="H170" s="11" t="s">
        <v>14</v>
      </c>
      <c r="J170" s="1" t="str">
        <f aca="false">_xlfn.CONCAT("https://github.com/gryvity/miafpe/tree/master/ontology/miappexsosa.owl#", G170)</f>
        <v>https://github.com/gryvity/miafpe/tree/master/ontology/miappexsosa.owl#hasAffiliation</v>
      </c>
    </row>
    <row r="171" customFormat="false" ht="147" hidden="false" customHeight="false" outlineLevel="0" collapsed="false">
      <c r="A171" s="37" t="s">
        <v>314</v>
      </c>
      <c r="B171" s="38"/>
      <c r="C171" s="39" t="s">
        <v>315</v>
      </c>
      <c r="D171" s="39"/>
      <c r="E171" s="38"/>
      <c r="F171" s="38"/>
      <c r="G171" s="38"/>
      <c r="H171" s="39"/>
      <c r="I171" s="39"/>
      <c r="J171" s="38" t="str">
        <f aca="false">_xlfn.CONCAT("https://github.com/gryvity/miafpe/tree/master/ontology/miappexsosa.owl#", G171)</f>
        <v>https://github.com/gryvity/miafpe/tree/master/ontology/miappexsosa.owl#</v>
      </c>
      <c r="K171" s="38" t="s">
        <v>316</v>
      </c>
    </row>
    <row r="172" s="13" customFormat="true" ht="35.05" hidden="false" customHeight="false" outlineLevel="0" collapsed="false">
      <c r="A172" s="40"/>
      <c r="B172" s="14" t="s">
        <v>17</v>
      </c>
      <c r="C172" s="13" t="s">
        <v>84</v>
      </c>
      <c r="J172" s="1" t="str">
        <f aca="false">_xlfn.CONCAT("https://github.com/gryvity/miafpe/tree/master/ontology/miappexsosa.owl#", G172)</f>
        <v>https://github.com/gryvity/miafpe/tree/master/ontology/miappexsosa.owl#</v>
      </c>
    </row>
    <row r="173" s="13" customFormat="true" ht="35.05" hidden="false" customHeight="false" outlineLevel="0" collapsed="false">
      <c r="A173" s="40"/>
      <c r="B173" s="14" t="s">
        <v>317</v>
      </c>
      <c r="J173" s="1" t="str">
        <f aca="false">_xlfn.CONCAT("https://github.com/gryvity/miafpe/tree/master/ontology/miappexsosa.owl#", G173)</f>
        <v>https://github.com/gryvity/miafpe/tree/master/ontology/miappexsosa.owl#</v>
      </c>
    </row>
    <row r="174" s="13" customFormat="true" ht="35.05" hidden="false" customHeight="false" outlineLevel="0" collapsed="false">
      <c r="A174" s="40"/>
      <c r="B174" s="14" t="s">
        <v>318</v>
      </c>
      <c r="J174" s="1" t="str">
        <f aca="false">_xlfn.CONCAT("https://github.com/gryvity/miafpe/tree/master/ontology/miappexsosa.owl#", G174)</f>
        <v>https://github.com/gryvity/miafpe/tree/master/ontology/miappexsosa.owl#</v>
      </c>
    </row>
    <row r="175" s="13" customFormat="true" ht="35.05" hidden="false" customHeight="false" outlineLevel="0" collapsed="false">
      <c r="A175" s="40"/>
      <c r="B175" s="14" t="s">
        <v>187</v>
      </c>
      <c r="J175" s="1" t="str">
        <f aca="false">_xlfn.CONCAT("https://github.com/gryvity/miafpe/tree/master/ontology/miappexsosa.owl#", G175)</f>
        <v>https://github.com/gryvity/miafpe/tree/master/ontology/miappexsosa.owl#</v>
      </c>
    </row>
    <row r="176" s="13" customFormat="true" ht="35.05" hidden="false" customHeight="false" outlineLevel="0" collapsed="false">
      <c r="A176" s="40"/>
      <c r="B176" s="14" t="s">
        <v>191</v>
      </c>
      <c r="J176" s="1" t="str">
        <f aca="false">_xlfn.CONCAT("https://github.com/gryvity/miafpe/tree/master/ontology/miappexsosa.owl#", G176)</f>
        <v>https://github.com/gryvity/miafpe/tree/master/ontology/miappexsosa.owl#</v>
      </c>
    </row>
    <row r="177" s="13" customFormat="true" ht="35.05" hidden="false" customHeight="false" outlineLevel="0" collapsed="false">
      <c r="A177" s="40"/>
      <c r="B177" s="14" t="s">
        <v>319</v>
      </c>
      <c r="J177" s="1" t="str">
        <f aca="false">_xlfn.CONCAT("https://github.com/gryvity/miafpe/tree/master/ontology/miappexsosa.owl#", G177)</f>
        <v>https://github.com/gryvity/miafpe/tree/master/ontology/miappexsosa.owl#</v>
      </c>
    </row>
    <row r="178" s="13" customFormat="true" ht="35.05" hidden="false" customHeight="false" outlineLevel="0" collapsed="false">
      <c r="A178" s="40"/>
      <c r="B178" s="14" t="s">
        <v>320</v>
      </c>
      <c r="E178" s="13" t="s">
        <v>321</v>
      </c>
      <c r="J178" s="1" t="str">
        <f aca="false">_xlfn.CONCAT("https://github.com/gryvity/miafpe/tree/master/ontology/miappexsosa.owl#", G178)</f>
        <v>https://github.com/gryvity/miafpe/tree/master/ontology/miappexsosa.owl#</v>
      </c>
    </row>
    <row r="179" customFormat="false" ht="79.85" hidden="false" customHeight="false" outlineLevel="0" collapsed="false">
      <c r="A179" s="37" t="s">
        <v>322</v>
      </c>
      <c r="B179" s="38"/>
      <c r="C179" s="39" t="s">
        <v>323</v>
      </c>
      <c r="D179" s="39"/>
      <c r="E179" s="38"/>
      <c r="F179" s="38"/>
      <c r="G179" s="38"/>
      <c r="H179" s="39"/>
      <c r="I179" s="39"/>
      <c r="J179" s="38" t="str">
        <f aca="false">_xlfn.CONCAT("https://github.com/gryvity/miafpe/tree/master/ontology/miappexsosa.owl#", G179)</f>
        <v>https://github.com/gryvity/miafpe/tree/master/ontology/miappexsosa.owl#</v>
      </c>
      <c r="K179" s="38" t="s">
        <v>172</v>
      </c>
    </row>
    <row r="180" customFormat="false" ht="35.05" hidden="false" customHeight="false" outlineLevel="0" collapsed="false">
      <c r="A180" s="40"/>
      <c r="B180" s="10" t="s">
        <v>17</v>
      </c>
      <c r="C180" s="11" t="s">
        <v>84</v>
      </c>
      <c r="G180" s="1" t="s">
        <v>18</v>
      </c>
      <c r="J180" s="1" t="str">
        <f aca="false">_xlfn.CONCAT("https://github.com/gryvity/miafpe/tree/master/ontology/miappexsosa.owl#", G180)</f>
        <v>https://github.com/gryvity/miafpe/tree/master/ontology/miappexsosa.owl#hasIdentifier</v>
      </c>
    </row>
    <row r="181" customFormat="false" ht="35.05" hidden="false" customHeight="false" outlineLevel="0" collapsed="false">
      <c r="A181" s="40"/>
      <c r="B181" s="10"/>
      <c r="J181" s="1" t="str">
        <f aca="false">_xlfn.CONCAT("https://github.com/gryvity/miafpe/tree/master/ontology/miappexsosa.owl#", G181)</f>
        <v>https://github.com/gryvity/miafpe/tree/master/ontology/miappexsosa.owl#</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H2" activeCellId="0" sqref="H2"/>
    </sheetView>
  </sheetViews>
  <sheetFormatPr defaultColWidth="11.53515625" defaultRowHeight="12.8" zeroHeight="false" outlineLevelRow="0" outlineLevelCol="0"/>
  <cols>
    <col collapsed="false" customWidth="true" hidden="false" outlineLevel="0" max="1" min="1" style="1" width="27.24"/>
    <col collapsed="false" customWidth="true" hidden="false" outlineLevel="0" max="2" min="2" style="1" width="25.73"/>
    <col collapsed="false" customWidth="true" hidden="false" outlineLevel="0" max="3" min="3" style="1" width="32.22"/>
    <col collapsed="false" customWidth="true" hidden="false" outlineLevel="0" max="4" min="4" style="1" width="18.54"/>
    <col collapsed="false" customWidth="true" hidden="false" outlineLevel="0" max="5" min="5" style="1" width="20.51"/>
    <col collapsed="false" customWidth="false" hidden="false" outlineLevel="0" max="6" min="6" style="1" width="11.53"/>
    <col collapsed="false" customWidth="true" hidden="false" outlineLevel="0" max="7" min="7" style="1" width="18.2"/>
    <col collapsed="false" customWidth="true" hidden="false" outlineLevel="0" max="8" min="8" style="1" width="23.77"/>
    <col collapsed="false" customWidth="true" hidden="false" outlineLevel="0" max="9" min="9" style="1" width="22.95"/>
    <col collapsed="false" customWidth="true" hidden="false" outlineLevel="0" max="10" min="10" style="1" width="22.37"/>
    <col collapsed="false" customWidth="false" hidden="false" outlineLevel="0" max="16384" min="11" style="1" width="11.53"/>
  </cols>
  <sheetData>
    <row r="1" s="24" customFormat="true" ht="36.05" hidden="false" customHeight="true" outlineLevel="0" collapsed="false">
      <c r="A1" s="24" t="s">
        <v>15</v>
      </c>
      <c r="B1" s="24" t="s">
        <v>19</v>
      </c>
      <c r="C1" s="24" t="s">
        <v>23</v>
      </c>
      <c r="D1" s="24" t="s">
        <v>27</v>
      </c>
      <c r="E1" s="24" t="s">
        <v>31</v>
      </c>
      <c r="F1" s="24" t="s">
        <v>34</v>
      </c>
      <c r="G1" s="24" t="s">
        <v>37</v>
      </c>
      <c r="H1" s="24" t="s">
        <v>40</v>
      </c>
      <c r="I1" s="41" t="s">
        <v>44</v>
      </c>
      <c r="J1" s="24" t="s">
        <v>324</v>
      </c>
    </row>
    <row r="2" s="35" customFormat="true" ht="124.6" hidden="false" customHeight="false" outlineLevel="0" collapsed="false">
      <c r="A2" s="35" t="s">
        <v>325</v>
      </c>
      <c r="B2" s="35" t="s">
        <v>326</v>
      </c>
      <c r="C2" s="35" t="s">
        <v>327</v>
      </c>
      <c r="D2" s="42" t="n">
        <v>45644</v>
      </c>
      <c r="E2" s="42" t="n">
        <v>45644</v>
      </c>
      <c r="F2" s="35" t="s">
        <v>328</v>
      </c>
      <c r="G2" s="35" t="n">
        <v>3.2</v>
      </c>
      <c r="H2" s="35" t="n">
        <v>0.1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30" width="20.75"/>
    <col collapsed="false" customWidth="true" hidden="false" outlineLevel="0" max="2" min="2" style="30" width="14.03"/>
    <col collapsed="false" customWidth="true" hidden="false" outlineLevel="0" max="3" min="3" style="30" width="19.24"/>
    <col collapsed="false" customWidth="true" hidden="false" outlineLevel="0" max="4" min="4" style="30" width="14.94"/>
    <col collapsed="false" customWidth="true" hidden="false" outlineLevel="0" max="5" min="5" style="30" width="13.1"/>
    <col collapsed="false" customWidth="true" hidden="false" outlineLevel="0" max="6" min="6" style="30" width="17.04"/>
    <col collapsed="false" customWidth="true" hidden="false" outlineLevel="0" max="8" min="8" style="30" width="18.08"/>
    <col collapsed="false" customWidth="true" hidden="false" outlineLevel="0" max="9" min="9" style="30" width="21.79"/>
  </cols>
  <sheetData>
    <row r="1" s="41" customFormat="true" ht="36.05" hidden="false" customHeight="true" outlineLevel="0" collapsed="false">
      <c r="A1" s="41" t="s">
        <v>57</v>
      </c>
      <c r="B1" s="41" t="s">
        <v>60</v>
      </c>
      <c r="C1" s="41" t="s">
        <v>62</v>
      </c>
      <c r="D1" s="41" t="s">
        <v>64</v>
      </c>
      <c r="E1" s="41" t="s">
        <v>67</v>
      </c>
      <c r="F1" s="41" t="s">
        <v>70</v>
      </c>
      <c r="G1" s="41" t="s">
        <v>74</v>
      </c>
      <c r="H1" s="41" t="s">
        <v>77</v>
      </c>
      <c r="I1" s="41" t="s">
        <v>81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30" width="20.75"/>
    <col collapsed="false" customWidth="true" hidden="false" outlineLevel="0" max="2" min="2" style="30" width="14.03"/>
    <col collapsed="false" customWidth="true" hidden="false" outlineLevel="0" max="3" min="3" style="30" width="19.24"/>
    <col collapsed="false" customWidth="true" hidden="false" outlineLevel="0" max="4" min="4" style="30" width="14.94"/>
    <col collapsed="false" customWidth="true" hidden="false" outlineLevel="0" max="5" min="5" style="30" width="13.1"/>
    <col collapsed="false" customWidth="true" hidden="false" outlineLevel="0" max="6" min="6" style="30" width="17.04"/>
    <col collapsed="false" customWidth="true" hidden="false" outlineLevel="0" max="8" min="8" style="30" width="18.08"/>
    <col collapsed="false" customWidth="true" hidden="false" outlineLevel="0" max="9" min="9" style="30" width="21.79"/>
  </cols>
  <sheetData>
    <row r="1" s="41" customFormat="true" ht="36.05" hidden="false" customHeight="true" outlineLevel="0" collapsed="false">
      <c r="A1" s="41" t="s">
        <v>17</v>
      </c>
      <c r="B1" s="41" t="s">
        <v>300</v>
      </c>
      <c r="C1" s="41" t="s">
        <v>302</v>
      </c>
      <c r="D1" s="41" t="s">
        <v>305</v>
      </c>
      <c r="E1" s="41" t="s">
        <v>308</v>
      </c>
      <c r="F1" s="41" t="s">
        <v>311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10" activeCellId="0" sqref="C10"/>
    </sheetView>
  </sheetViews>
  <sheetFormatPr defaultColWidth="11.53515625" defaultRowHeight="12.8" zeroHeight="false" outlineLevelRow="0" outlineLevelCol="0"/>
  <cols>
    <col collapsed="false" customWidth="true" hidden="false" outlineLevel="0" max="1" min="1" style="30" width="20.75"/>
    <col collapsed="false" customWidth="true" hidden="false" outlineLevel="0" max="2" min="2" style="30" width="14.03"/>
    <col collapsed="false" customWidth="true" hidden="false" outlineLevel="0" max="3" min="3" style="30" width="19.24"/>
    <col collapsed="false" customWidth="true" hidden="false" outlineLevel="0" max="4" min="4" style="30" width="20.24"/>
    <col collapsed="false" customWidth="true" hidden="false" outlineLevel="0" max="5" min="5" style="30" width="13.1"/>
    <col collapsed="false" customWidth="true" hidden="false" outlineLevel="0" max="6" min="6" style="30" width="17.04"/>
    <col collapsed="false" customWidth="true" hidden="false" outlineLevel="0" max="8" min="8" style="30" width="18.08"/>
    <col collapsed="false" customWidth="true" hidden="false" outlineLevel="0" max="9" min="9" style="30" width="21.79"/>
  </cols>
  <sheetData>
    <row r="1" s="41" customFormat="true" ht="36.05" hidden="false" customHeight="true" outlineLevel="0" collapsed="false">
      <c r="A1" s="43" t="s">
        <v>17</v>
      </c>
      <c r="B1" s="43" t="s">
        <v>154</v>
      </c>
      <c r="C1" s="43" t="s">
        <v>158</v>
      </c>
      <c r="D1" s="43" t="s">
        <v>160</v>
      </c>
      <c r="E1" s="43" t="s">
        <v>162</v>
      </c>
      <c r="F1" s="43" t="s">
        <v>165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J1" activeCellId="0" sqref="J1"/>
    </sheetView>
  </sheetViews>
  <sheetFormatPr defaultColWidth="11.53515625" defaultRowHeight="12.8" zeroHeight="false" outlineLevelRow="0" outlineLevelCol="0"/>
  <cols>
    <col collapsed="false" customWidth="true" hidden="false" outlineLevel="0" max="1" min="1" style="30" width="20.75"/>
    <col collapsed="false" customWidth="true" hidden="false" outlineLevel="0" max="2" min="2" style="30" width="14.03"/>
    <col collapsed="false" customWidth="true" hidden="false" outlineLevel="0" max="3" min="3" style="30" width="19.24"/>
    <col collapsed="false" customWidth="true" hidden="false" outlineLevel="0" max="4" min="4" style="30" width="14.94"/>
    <col collapsed="false" customWidth="true" hidden="false" outlineLevel="0" max="5" min="5" style="30" width="13.1"/>
    <col collapsed="false" customWidth="true" hidden="false" outlineLevel="0" max="6" min="6" style="30" width="17.04"/>
    <col collapsed="false" customWidth="true" hidden="false" outlineLevel="0" max="8" min="8" style="30" width="18.08"/>
    <col collapsed="false" customWidth="true" hidden="false" outlineLevel="0" max="9" min="9" style="30" width="21.79"/>
  </cols>
  <sheetData>
    <row r="1" s="41" customFormat="true" ht="36.05" hidden="false" customHeight="true" outlineLevel="0" collapsed="false">
      <c r="A1" s="24" t="s">
        <v>17</v>
      </c>
      <c r="B1" s="24" t="s">
        <v>85</v>
      </c>
      <c r="C1" s="24" t="s">
        <v>87</v>
      </c>
      <c r="D1" s="24" t="s">
        <v>91</v>
      </c>
      <c r="E1" s="24" t="s">
        <v>94</v>
      </c>
      <c r="F1" s="24" t="s">
        <v>99</v>
      </c>
      <c r="G1" s="24" t="s">
        <v>103</v>
      </c>
      <c r="H1" s="24" t="s">
        <v>112</v>
      </c>
      <c r="I1" s="24" t="s">
        <v>115</v>
      </c>
      <c r="J1" s="24" t="s">
        <v>118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
  <sheetViews>
    <sheetView showFormulas="false" showGridLines="true" showRowColHeaders="true" showZeros="true" rightToLeft="false" tabSelected="false" showOutlineSymbols="true" defaultGridColor="true" view="normal" topLeftCell="E1" colorId="64" zoomScale="110" zoomScaleNormal="110" zoomScalePageLayoutView="100" workbookViewId="0">
      <selection pane="topLeft" activeCell="E4" activeCellId="0" sqref="E4"/>
    </sheetView>
  </sheetViews>
  <sheetFormatPr defaultColWidth="11.53515625" defaultRowHeight="12.8" zeroHeight="false" outlineLevelRow="0" outlineLevelCol="0"/>
  <cols>
    <col collapsed="false" customWidth="true" hidden="false" outlineLevel="0" max="1" min="1" style="30" width="20.75"/>
    <col collapsed="false" customWidth="true" hidden="false" outlineLevel="0" max="2" min="2" style="30" width="14.03"/>
    <col collapsed="false" customWidth="true" hidden="false" outlineLevel="0" max="3" min="3" style="30" width="19.24"/>
    <col collapsed="false" customWidth="true" hidden="false" outlineLevel="0" max="4" min="4" style="30" width="14.94"/>
    <col collapsed="false" customWidth="true" hidden="false" outlineLevel="0" max="5" min="5" style="30" width="13.1"/>
    <col collapsed="false" customWidth="true" hidden="false" outlineLevel="0" max="6" min="6" style="30" width="17.04"/>
    <col collapsed="false" customWidth="true" hidden="false" outlineLevel="0" max="8" min="8" style="30" width="18.08"/>
    <col collapsed="false" customWidth="true" hidden="false" outlineLevel="0" max="9" min="9" style="30" width="21.79"/>
  </cols>
  <sheetData>
    <row r="1" s="41" customFormat="true" ht="36.05" hidden="false" customHeight="true" outlineLevel="0" collapsed="false">
      <c r="A1" s="43" t="s">
        <v>17</v>
      </c>
      <c r="B1" s="43" t="s">
        <v>121</v>
      </c>
      <c r="C1" s="43" t="s">
        <v>123</v>
      </c>
      <c r="D1" s="43" t="s">
        <v>87</v>
      </c>
      <c r="E1" s="43" t="s">
        <v>91</v>
      </c>
      <c r="F1" s="43" t="s">
        <v>126</v>
      </c>
      <c r="G1" s="43" t="s">
        <v>129</v>
      </c>
      <c r="H1" s="43" t="s">
        <v>131</v>
      </c>
      <c r="I1" s="43" t="s">
        <v>133</v>
      </c>
      <c r="J1" s="43" t="s">
        <v>135</v>
      </c>
      <c r="K1" s="43" t="s">
        <v>137</v>
      </c>
      <c r="L1" s="43" t="s">
        <v>139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1" activeCellId="0" sqref="C1"/>
    </sheetView>
  </sheetViews>
  <sheetFormatPr defaultColWidth="11.53515625" defaultRowHeight="12.8" zeroHeight="false" outlineLevelRow="0" outlineLevelCol="0"/>
  <cols>
    <col collapsed="false" customWidth="true" hidden="false" outlineLevel="0" max="1" min="1" style="30" width="20.75"/>
    <col collapsed="false" customWidth="true" hidden="false" outlineLevel="0" max="2" min="2" style="30" width="14.03"/>
    <col collapsed="false" customWidth="true" hidden="false" outlineLevel="0" max="3" min="3" style="30" width="19.24"/>
    <col collapsed="false" customWidth="true" hidden="false" outlineLevel="0" max="4" min="4" style="30" width="14.94"/>
    <col collapsed="false" customWidth="true" hidden="false" outlineLevel="0" max="5" min="5" style="30" width="13.1"/>
    <col collapsed="false" customWidth="true" hidden="false" outlineLevel="0" max="6" min="6" style="30" width="17.04"/>
    <col collapsed="false" customWidth="true" hidden="false" outlineLevel="0" max="8" min="8" style="30" width="18.08"/>
    <col collapsed="false" customWidth="true" hidden="false" outlineLevel="0" max="9" min="9" style="30" width="21.79"/>
  </cols>
  <sheetData>
    <row r="1" s="41" customFormat="true" ht="36.05" hidden="false" customHeight="true" outlineLevel="0" collapsed="false">
      <c r="A1" s="43" t="s">
        <v>17</v>
      </c>
      <c r="B1" s="43" t="s">
        <v>142</v>
      </c>
      <c r="C1" s="43" t="s">
        <v>144</v>
      </c>
      <c r="D1" s="43" t="s">
        <v>146</v>
      </c>
      <c r="E1" s="43" t="s">
        <v>149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608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2026-02-19T08:23:31Z</dcterms:created>
  <dc:creator/>
  <dc:description/>
  <dc:language>en-US</dc:language>
  <cp:lastModifiedBy/>
  <dcterms:modified xsi:type="dcterms:W3CDTF">2026-02-25T13:34:23Z</dcterms:modified>
  <cp:revision>52</cp:revision>
  <dc:subject/>
  <dc:title/>
</cp:coreProperties>
</file>

<file path=docProps/custom.xml><?xml version="1.0" encoding="utf-8"?>
<Properties xmlns="http://schemas.openxmlformats.org/officeDocument/2006/custom-properties" xmlns:vt="http://schemas.openxmlformats.org/officeDocument/2006/docPropsVTypes"/>
</file>